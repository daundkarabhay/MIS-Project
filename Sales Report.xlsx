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und\OneDrive\Pictures\Mis Projects\Project_1\"/>
    </mc:Choice>
  </mc:AlternateContent>
  <xr:revisionPtr revIDLastSave="0" documentId="13_ncr:1_{A2EDD283-6C77-47A5-B13B-2D2AD6E1D463}" xr6:coauthVersionLast="47" xr6:coauthVersionMax="47" xr10:uidLastSave="{00000000-0000-0000-0000-000000000000}"/>
  <bookViews>
    <workbookView xWindow="-110" yWindow="-110" windowWidth="19420" windowHeight="11020" activeTab="2" xr2:uid="{96E016CC-CA73-4366-BC61-427A51774D1B}"/>
  </bookViews>
  <sheets>
    <sheet name="Sales_Raw_Data" sheetId="1" r:id="rId1"/>
    <sheet name="Sales_MIS" sheetId="2" r:id="rId2"/>
    <sheet name="Sales_MIS_Report" sheetId="4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4" l="1"/>
  <c r="N3" i="4"/>
  <c r="K3" i="4"/>
  <c r="H3" i="4"/>
  <c r="E3" i="4"/>
  <c r="B3" i="4"/>
</calcChain>
</file>

<file path=xl/sharedStrings.xml><?xml version="1.0" encoding="utf-8"?>
<sst xmlns="http://schemas.openxmlformats.org/spreadsheetml/2006/main" count="1561" uniqueCount="327">
  <si>
    <t>Date</t>
  </si>
  <si>
    <t>Invoice_No</t>
  </si>
  <si>
    <t>Customer_ID</t>
  </si>
  <si>
    <t>Customer_Name</t>
  </si>
  <si>
    <t>Salesperson</t>
  </si>
  <si>
    <t>Region</t>
  </si>
  <si>
    <t>Product</t>
  </si>
  <si>
    <t>Category</t>
  </si>
  <si>
    <t>Qty</t>
  </si>
  <si>
    <t>Unit_Price</t>
  </si>
  <si>
    <t>Discount</t>
  </si>
  <si>
    <t>Payment_Mode</t>
  </si>
  <si>
    <t>Payment_Status</t>
  </si>
  <si>
    <t>Cost_Per_Unit</t>
  </si>
  <si>
    <t>Gross Sales</t>
  </si>
  <si>
    <t>Net_Sales</t>
  </si>
  <si>
    <t>Profit</t>
  </si>
  <si>
    <t>Profit_%</t>
  </si>
  <si>
    <t>INV0001</t>
  </si>
  <si>
    <t>CUST001</t>
  </si>
  <si>
    <t>Reliance Retail</t>
  </si>
  <si>
    <t>Amit</t>
  </si>
  <si>
    <t>West</t>
  </si>
  <si>
    <t>Laptop</t>
  </si>
  <si>
    <t>Electronics</t>
  </si>
  <si>
    <t>UPI</t>
  </si>
  <si>
    <t>Paid</t>
  </si>
  <si>
    <t>INV0002</t>
  </si>
  <si>
    <t>CUST002</t>
  </si>
  <si>
    <t>Shree Enterprises</t>
  </si>
  <si>
    <t>Priya</t>
  </si>
  <si>
    <t>South</t>
  </si>
  <si>
    <t>Monitor</t>
  </si>
  <si>
    <t>Card</t>
  </si>
  <si>
    <t>INV0003</t>
  </si>
  <si>
    <t>CUST003</t>
  </si>
  <si>
    <t>Global Traders</t>
  </si>
  <si>
    <t>Rahul</t>
  </si>
  <si>
    <t>Keyboard</t>
  </si>
  <si>
    <t>Accessories</t>
  </si>
  <si>
    <t>Cash</t>
  </si>
  <si>
    <t>INV0004</t>
  </si>
  <si>
    <t>CUST004</t>
  </si>
  <si>
    <t>Metro Solutions</t>
  </si>
  <si>
    <t>Neha</t>
  </si>
  <si>
    <t>North</t>
  </si>
  <si>
    <t>Mouse</t>
  </si>
  <si>
    <t>Pending</t>
  </si>
  <si>
    <t>INV0005</t>
  </si>
  <si>
    <t>CUST005</t>
  </si>
  <si>
    <t>Sunrise Infotech</t>
  </si>
  <si>
    <t>East</t>
  </si>
  <si>
    <t>Bank Transfer</t>
  </si>
  <si>
    <t>INV0006</t>
  </si>
  <si>
    <t>CUST006</t>
  </si>
  <si>
    <t>Prime Mart</t>
  </si>
  <si>
    <t>Vikas</t>
  </si>
  <si>
    <t>Printer</t>
  </si>
  <si>
    <t>Office Equipment</t>
  </si>
  <si>
    <t>Partial</t>
  </si>
  <si>
    <t>INV0007</t>
  </si>
  <si>
    <t>CUST007</t>
  </si>
  <si>
    <t>Tech World</t>
  </si>
  <si>
    <t>Headphones</t>
  </si>
  <si>
    <t>INV0008</t>
  </si>
  <si>
    <t>CUST008</t>
  </si>
  <si>
    <t>Modern Office</t>
  </si>
  <si>
    <t>Tablet</t>
  </si>
  <si>
    <t>INV0009</t>
  </si>
  <si>
    <t>CUST009</t>
  </si>
  <si>
    <t>Galaxy Stores</t>
  </si>
  <si>
    <t>Mobile Phone</t>
  </si>
  <si>
    <t>INV0010</t>
  </si>
  <si>
    <t>CUST010</t>
  </si>
  <si>
    <t>Om Enterprises</t>
  </si>
  <si>
    <t>INV0011</t>
  </si>
  <si>
    <t>CUST011</t>
  </si>
  <si>
    <t>City Computers</t>
  </si>
  <si>
    <t>INV0012</t>
  </si>
  <si>
    <t>CUST012</t>
  </si>
  <si>
    <t>National Traders</t>
  </si>
  <si>
    <t>INV0013</t>
  </si>
  <si>
    <t>CUST013</t>
  </si>
  <si>
    <t>Star Electronics</t>
  </si>
  <si>
    <t>INV0014</t>
  </si>
  <si>
    <t>CUST014</t>
  </si>
  <si>
    <t>Elite Solutions</t>
  </si>
  <si>
    <t>INV0015</t>
  </si>
  <si>
    <t>CUST015</t>
  </si>
  <si>
    <t>Shivam Enterprises</t>
  </si>
  <si>
    <t>INV0016</t>
  </si>
  <si>
    <t>CUST016</t>
  </si>
  <si>
    <t>Digital Hub</t>
  </si>
  <si>
    <t>INV0017</t>
  </si>
  <si>
    <t>CUST017</t>
  </si>
  <si>
    <t>Green Valley Stores</t>
  </si>
  <si>
    <t>INV0018</t>
  </si>
  <si>
    <t>CUST018</t>
  </si>
  <si>
    <t>Metro Retail</t>
  </si>
  <si>
    <t>INV0019</t>
  </si>
  <si>
    <t>CUST019</t>
  </si>
  <si>
    <t>Prime Enterprises</t>
  </si>
  <si>
    <t>INV0020</t>
  </si>
  <si>
    <t>CUST020</t>
  </si>
  <si>
    <t>Techno Mart</t>
  </si>
  <si>
    <t>INV0021</t>
  </si>
  <si>
    <t>CUST021</t>
  </si>
  <si>
    <t>Smart Solutions</t>
  </si>
  <si>
    <t>INV0022</t>
  </si>
  <si>
    <t>CUST022</t>
  </si>
  <si>
    <t>Shree Computers</t>
  </si>
  <si>
    <t>INV0023</t>
  </si>
  <si>
    <t>CUST023</t>
  </si>
  <si>
    <t>Future Tech</t>
  </si>
  <si>
    <t>INV0024</t>
  </si>
  <si>
    <t>CUST024</t>
  </si>
  <si>
    <t>Classic Traders</t>
  </si>
  <si>
    <t>INV0025</t>
  </si>
  <si>
    <t>CUST025</t>
  </si>
  <si>
    <t>Max Electronics</t>
  </si>
  <si>
    <t>INV0026</t>
  </si>
  <si>
    <t>CUST026</t>
  </si>
  <si>
    <t>City Mart</t>
  </si>
  <si>
    <t>INV0027</t>
  </si>
  <si>
    <t>CUST027</t>
  </si>
  <si>
    <t>Bright Solutions</t>
  </si>
  <si>
    <t>INV0028</t>
  </si>
  <si>
    <t>CUST028</t>
  </si>
  <si>
    <t>National Office</t>
  </si>
  <si>
    <t>INV0029</t>
  </si>
  <si>
    <t>CUST029</t>
  </si>
  <si>
    <t>Galaxy Infotech</t>
  </si>
  <si>
    <t>INV0030</t>
  </si>
  <si>
    <t>CUST030</t>
  </si>
  <si>
    <t>Omkar Traders</t>
  </si>
  <si>
    <t>INV0031</t>
  </si>
  <si>
    <t>CUST031</t>
  </si>
  <si>
    <t>Sunrise Stores</t>
  </si>
  <si>
    <t>INV0032</t>
  </si>
  <si>
    <t>CUST032</t>
  </si>
  <si>
    <t>Prime Computers</t>
  </si>
  <si>
    <t>INV0033</t>
  </si>
  <si>
    <t>CUST033</t>
  </si>
  <si>
    <t>Tech Point</t>
  </si>
  <si>
    <t>INV0034</t>
  </si>
  <si>
    <t>CUST034</t>
  </si>
  <si>
    <t>Modern Traders</t>
  </si>
  <si>
    <t>INV0035</t>
  </si>
  <si>
    <t>CUST035</t>
  </si>
  <si>
    <t>Elite Retail</t>
  </si>
  <si>
    <t>INV0036</t>
  </si>
  <si>
    <t>CUST036</t>
  </si>
  <si>
    <t>INV0037</t>
  </si>
  <si>
    <t>CUST037</t>
  </si>
  <si>
    <t>Global Solutions</t>
  </si>
  <si>
    <t>INV0038</t>
  </si>
  <si>
    <t>CUST038</t>
  </si>
  <si>
    <t>Metro Computers</t>
  </si>
  <si>
    <t>INV0039</t>
  </si>
  <si>
    <t>CUST039</t>
  </si>
  <si>
    <t>Digital World</t>
  </si>
  <si>
    <t>INV0040</t>
  </si>
  <si>
    <t>CUST040</t>
  </si>
  <si>
    <t>Smart Mart</t>
  </si>
  <si>
    <t>INV0041</t>
  </si>
  <si>
    <t>CUST041</t>
  </si>
  <si>
    <t>Future Enterprises</t>
  </si>
  <si>
    <t>INV0042</t>
  </si>
  <si>
    <t>CUST042</t>
  </si>
  <si>
    <t>City Solutions</t>
  </si>
  <si>
    <t>INV0043</t>
  </si>
  <si>
    <t>CUST043</t>
  </si>
  <si>
    <t>Max Traders</t>
  </si>
  <si>
    <t>INV0044</t>
  </si>
  <si>
    <t>CUST044</t>
  </si>
  <si>
    <t>National Mart</t>
  </si>
  <si>
    <t>INV0045</t>
  </si>
  <si>
    <t>CUST045</t>
  </si>
  <si>
    <t>Star Computers</t>
  </si>
  <si>
    <t>INV0046</t>
  </si>
  <si>
    <t>CUST046</t>
  </si>
  <si>
    <t>Green Valley</t>
  </si>
  <si>
    <t>INV0047</t>
  </si>
  <si>
    <t>CUST047</t>
  </si>
  <si>
    <t>Om Solutions</t>
  </si>
  <si>
    <t>INV0048</t>
  </si>
  <si>
    <t>CUST048</t>
  </si>
  <si>
    <t>Prime Retail</t>
  </si>
  <si>
    <t>INV0049</t>
  </si>
  <si>
    <t>CUST049</t>
  </si>
  <si>
    <t>INV0050</t>
  </si>
  <si>
    <t>CUST050</t>
  </si>
  <si>
    <t>Elite Enterprises</t>
  </si>
  <si>
    <t>Total Cost</t>
  </si>
  <si>
    <t>Profit %</t>
  </si>
  <si>
    <t>Total Sales</t>
  </si>
  <si>
    <t>Product Name</t>
  </si>
  <si>
    <t>Total Orders</t>
  </si>
  <si>
    <t>Total Quantity</t>
  </si>
  <si>
    <t>Total Profit</t>
  </si>
  <si>
    <t>Quantity Sold</t>
  </si>
  <si>
    <t>SalesPerson</t>
  </si>
  <si>
    <t>Sales</t>
  </si>
  <si>
    <t>Month</t>
  </si>
  <si>
    <t>INV0051</t>
  </si>
  <si>
    <t>CUST051</t>
  </si>
  <si>
    <t>Shree Logistics</t>
  </si>
  <si>
    <t>INV0052</t>
  </si>
  <si>
    <t>CUST052</t>
  </si>
  <si>
    <t>Vertex Solutions</t>
  </si>
  <si>
    <t>INV0053</t>
  </si>
  <si>
    <t>CUST053</t>
  </si>
  <si>
    <t>Blue Star Traders</t>
  </si>
  <si>
    <t>INV0054</t>
  </si>
  <si>
    <t>CUST054</t>
  </si>
  <si>
    <t>Sunrise Technologies</t>
  </si>
  <si>
    <t>INV0055</t>
  </si>
  <si>
    <t>CUST055</t>
  </si>
  <si>
    <t>Global Enterprises</t>
  </si>
  <si>
    <t>INV0056</t>
  </si>
  <si>
    <t>CUST056</t>
  </si>
  <si>
    <t>Metro Infotech</t>
  </si>
  <si>
    <t>INV0057</t>
  </si>
  <si>
    <t>CUST057</t>
  </si>
  <si>
    <t>INV0058</t>
  </si>
  <si>
    <t>CUST058</t>
  </si>
  <si>
    <t>Smart Office</t>
  </si>
  <si>
    <t>INV0059</t>
  </si>
  <si>
    <t>CUST059</t>
  </si>
  <si>
    <t>INV0060</t>
  </si>
  <si>
    <t>CUST060</t>
  </si>
  <si>
    <t>Elite Traders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</si>
  <si>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</si>
  <si>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</si>
  <si>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</si>
  <si>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</si>
  <si>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</si>
  <si>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</si>
  <si>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</si>
  <si>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</si>
  <si>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</si>
  <si>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</si>
  <si>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</si>
  <si>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</si>
  <si>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</si>
  <si>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</si>
  <si>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</si>
  <si>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</si>
  <si>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</si>
  <si>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</si>
  <si>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</si>
  <si>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</si>
  <si>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</si>
  <si>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</si>
  <si>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</si>
  <si>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</si>
  <si>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</si>
  <si>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</si>
  <si>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</si>
  <si>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</si>
  <si>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</si>
  <si>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</si>
  <si>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</si>
  <si>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</si>
  <si>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</si>
  <si>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</si>
  <si>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</si>
  <si>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</si>
  <si>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</si>
  <si>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</si>
  <si>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</si>
  <si>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</si>
  <si>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</si>
  <si>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</si>
  <si>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</si>
  <si>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</si>
  <si>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</si>
  <si>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</si>
  <si>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</si>
  <si>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</si>
  <si>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</si>
  <si>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</si>
  <si>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</si>
  <si>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</si>
  <si>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</si>
  <si>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</si>
  <si>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</si>
  <si>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</si>
  <si>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</si>
  <si>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</si>
  <si>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</si>
  <si>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</si>
  <si>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</si>
  <si>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</si>
  <si>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</si>
  <si>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</si>
  <si>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</si>
  <si>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</si>
  <si>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</si>
  <si>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</si>
  <si>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</si>
  <si>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</si>
  <si>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</si>
  <si>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</si>
  <si>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</si>
  <si>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</si>
  <si>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</si>
  <si>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</si>
  <si>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</si>
  <si>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</si>
  <si>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</si>
  <si>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</si>
  <si>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</si>
  <si>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</si>
  <si>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</si>
  <si>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</si>
  <si>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</si>
  <si>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</si>
  <si>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</si>
  <si>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</si>
  <si>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</si>
  <si>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</si>
  <si>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No Of Orders</t>
  </si>
  <si>
    <t>Apr</t>
  </si>
  <si>
    <t>May</t>
  </si>
  <si>
    <t>Jun</t>
  </si>
  <si>
    <t xml:space="preserve">SALES MIS REPORT,APR–JUN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</si>
</sst>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4" x14ac:knownFonts="1">
    <font>
      <sz val="11"/>
      <color theme="1"/>
      <name val="Calibri"/>
      <family val="2"/>
      <scheme val="minor"/>
    </font>
    <font>
      <sz val="12"/>
      <color rgb="FF0D0D0D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5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4" borderId="0" xfId="0" applyFill="1"/>
    <xf numFmtId="0" fontId="3" fillId="4" borderId="0" xfId="0" applyFont="1" applyFill="1"/>
    <xf numFmtId="165" fontId="3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0" fontId="3" fillId="5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Continuous" vertical="center"/>
    </xf>
  </cellXfs>
  <cellStyles count="1">
    <cellStyle name="Normal" xfId="0" builtinId="0"/>
  </cellStyles>
  <dxfs count="4">
    <dxf>
      <numFmt numFmtId="14" formatCode="0.00%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Report.xlsx]Sales_MIS!PivotTable24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solidFill>
              <a:schemeClr val="lt1"/>
            </a:solidFill>
            <a:ln w="1270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Sales_MIS!$K$7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&quot;₹&quot;\ #,##0" sourceLinked="0"/>
            <c:spPr>
              <a:solidFill>
                <a:schemeClr val="lt1"/>
              </a:solidFill>
              <a:ln w="12700" cap="flat" cmpd="sng" algn="ctr">
                <a:noFill/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Sales_MIS!$J$8:$J$10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Sales_MIS!$K$8:$K$10</c:f>
              <c:numCache>
                <c:formatCode>General</c:formatCode>
                <c:ptCount val="3"/>
                <c:pt idx="0">
                  <c:v>3483900</c:v>
                </c:pt>
                <c:pt idx="1">
                  <c:v>3710300</c:v>
                </c:pt>
                <c:pt idx="2">
                  <c:v>4320600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6-4E47-BF95-CB419B2A49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7035647"/>
        <c:axId val="555052751"/>
      </c:barChart>
      <c:catAx>
        <c:axId val="627035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052751"/>
        <c:crosses val="autoZero"/>
        <c:auto val="1"/>
        <c:lblAlgn val="ctr"/>
        <c:lblOffset val="100"/>
        <c:noMultiLvlLbl val="0"/>
      </c:catAx>
      <c:valAx>
        <c:axId val="5550527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2703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Report.xlsx]Sales_MIS!PivotTable21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SalesPerson</a:t>
            </a:r>
            <a:r>
              <a:rPr lang="en-IN" baseline="0"/>
              <a:t> Sales</a:t>
            </a:r>
            <a:endParaRPr lang="en-IN"/>
          </a:p>
        </c:rich>
      </c:tx>
      <c:layout>
        <c:manualLayout>
          <c:xMode val="edge"/>
          <c:yMode val="edge"/>
          <c:x val="0.71922355357754197"/>
          <c:y val="3.7593984962406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062656641604009E-2"/>
          <c:y val="0.16670926517571885"/>
          <c:w val="0.94486215538847118"/>
          <c:h val="0.614771452290508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Sales_MIS!$B$7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Sales_MIS!$A$8:$A$12</c:f>
              <c:strCache>
                <c:ptCount val="5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  <c:pt idx="4">
                  <c:v>Vikas</c:v>
                </c:pt>
              </c:strCache>
            </c:strRef>
          </c:cat>
          <c:val>
            <c:numRef>
              <c:f>Sales_MIS!$B$8:$B$12</c:f>
              <c:numCache>
                <c:formatCode>General</c:formatCode>
                <c:ptCount val="5"/>
                <c:pt idx="0">
                  <c:v>2549500</c:v>
                </c:pt>
                <c:pt idx="1">
                  <c:v>2444500</c:v>
                </c:pt>
                <c:pt idx="2">
                  <c:v>2153800</c:v>
                </c:pt>
                <c:pt idx="3">
                  <c:v>2281500</c:v>
                </c:pt>
                <c:pt idx="4">
                  <c:v>2085500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0-4E90-B2B6-A0543C7AED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5713999"/>
        <c:axId val="931552591"/>
      </c:barChart>
      <c:catAx>
        <c:axId val="1065713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552591"/>
        <c:crosses val="autoZero"/>
        <c:auto val="1"/>
        <c:lblAlgn val="ctr"/>
        <c:lblOffset val="100"/>
        <c:noMultiLvlLbl val="0"/>
      </c:catAx>
      <c:valAx>
        <c:axId val="9315525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571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Report.xlsx]Sales_MIS!PivotTable23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</a:p>
        </c:rich>
      </c:tx>
      <c:layout>
        <c:manualLayout>
          <c:xMode val="edge"/>
          <c:yMode val="edge"/>
          <c:x val="2.5833333333333364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48E-2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-2.31481481481481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778E-2"/>
              <c:y val="-8.4875562720133283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75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66666666666666E-2"/>
              <c:y val="-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552E-2"/>
              <c:y val="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277777777777768"/>
              <c:y val="4.16666666666666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448E-2"/>
              <c:y val="-2.777777777777780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448E-2"/>
              <c:y val="-2.777777777777780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277777777777768"/>
              <c:y val="4.16666666666666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552E-2"/>
              <c:y val="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66666666666666E-2"/>
              <c:y val="-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75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778E-2"/>
              <c:y val="-8.4875562720133283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-2.31481481481481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48E-2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 w="1270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448E-2"/>
              <c:y val="-2.7777777777777801E-2"/>
            </c:manualLayout>
          </c:layout>
          <c:spPr>
            <a:solidFill>
              <a:sysClr val="window" lastClr="FFFFFF"/>
            </a:solidFill>
            <a:ln w="1270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277777777777768"/>
              <c:y val="4.1666666666666623E-2"/>
            </c:manualLayout>
          </c:layout>
          <c:spPr>
            <a:solidFill>
              <a:sysClr val="window" lastClr="FFFFFF"/>
            </a:solidFill>
            <a:ln w="1270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552E-2"/>
              <c:y val="1.8518518518518517E-2"/>
            </c:manualLayout>
          </c:layout>
          <c:spPr>
            <a:solidFill>
              <a:sysClr val="window" lastClr="FFFFFF"/>
            </a:solidFill>
            <a:ln w="1270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38478372814348"/>
              <c:y val="-4.7557813096283159E-2"/>
            </c:manualLayout>
          </c:layout>
          <c:spPr>
            <a:solidFill>
              <a:sysClr val="window" lastClr="FFFFFF"/>
            </a:solidFill>
            <a:ln w="1270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75E-2"/>
              <c:y val="0"/>
            </c:manualLayout>
          </c:layout>
          <c:spPr>
            <a:solidFill>
              <a:sysClr val="window" lastClr="FFFFFF"/>
            </a:solidFill>
            <a:ln w="1270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778E-2"/>
              <c:y val="-8.4875562720133283E-17"/>
            </c:manualLayout>
          </c:layout>
          <c:spPr>
            <a:solidFill>
              <a:sysClr val="window" lastClr="FFFFFF"/>
            </a:solidFill>
            <a:ln w="1270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0000000000000024E-2"/>
              <c:y val="-2.3148148148148147E-2"/>
            </c:manualLayout>
          </c:layout>
          <c:spPr>
            <a:solidFill>
              <a:sysClr val="window" lastClr="FFFFFF"/>
            </a:solidFill>
            <a:ln w="1270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444444444444448E-2"/>
              <c:y val="-3.2407407407407406E-2"/>
            </c:manualLayout>
          </c:layout>
          <c:spPr>
            <a:solidFill>
              <a:sysClr val="window" lastClr="FFFFFF"/>
            </a:solidFill>
            <a:ln w="12700" cap="flat" cmpd="sng" algn="ctr">
              <a:solidFill>
                <a:srgbClr val="FFC000"/>
              </a:solidFill>
              <a:prstDash val="solid"/>
              <a:miter lim="800000"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Sales_MIS!$H$7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9-4E14-B602-6C0E2BACAE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C9-4E14-B602-6C0E2BACAE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C9-4E14-B602-6C0E2BACAE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C9-4E14-B602-6C0E2BACAE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C9-4E14-B602-6C0E2BACAE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C9-4E14-B602-6C0E2BACAE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C9-4E14-B602-6C0E2BACAE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C9-4E14-B602-6C0E2BACAE4A}"/>
              </c:ext>
            </c:extLst>
          </c:dPt>
          <c:dLbls>
            <c:dLbl>
              <c:idx val="0"/>
              <c:layout>
                <c:manualLayout>
                  <c:x val="6.9444444444444448E-2"/>
                  <c:y val="-2.77777777777778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C9-4E14-B602-6C0E2BACAE4A}"/>
                </c:ext>
              </c:extLst>
            </c:dLbl>
            <c:dLbl>
              <c:idx val="1"/>
              <c:layout>
                <c:manualLayout>
                  <c:x val="0.15277777777777768"/>
                  <c:y val="4.16666666666666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C9-4E14-B602-6C0E2BACAE4A}"/>
                </c:ext>
              </c:extLst>
            </c:dLbl>
            <c:dLbl>
              <c:idx val="2"/>
              <c:layout>
                <c:manualLayout>
                  <c:x val="5.5555555555555552E-2"/>
                  <c:y val="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C9-4E14-B602-6C0E2BACAE4A}"/>
                </c:ext>
              </c:extLst>
            </c:dLbl>
            <c:dLbl>
              <c:idx val="3"/>
              <c:layout>
                <c:manualLayout>
                  <c:x val="0.14438478372814348"/>
                  <c:y val="-4.755781309628315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C9-4E14-B602-6C0E2BACAE4A}"/>
                </c:ext>
              </c:extLst>
            </c:dLbl>
            <c:dLbl>
              <c:idx val="4"/>
              <c:layout>
                <c:manualLayout>
                  <c:x val="-6.9444444444444475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C9-4E14-B602-6C0E2BACAE4A}"/>
                </c:ext>
              </c:extLst>
            </c:dLbl>
            <c:dLbl>
              <c:idx val="5"/>
              <c:layout>
                <c:manualLayout>
                  <c:x val="-5.2777777777777778E-2"/>
                  <c:y val="-8.4875562720133283E-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C9-4E14-B602-6C0E2BACAE4A}"/>
                </c:ext>
              </c:extLst>
            </c:dLbl>
            <c:dLbl>
              <c:idx val="6"/>
              <c:layout>
                <c:manualLayout>
                  <c:x val="-5.0000000000000024E-2"/>
                  <c:y val="-2.31481481481481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C9-4E14-B602-6C0E2BACAE4A}"/>
                </c:ext>
              </c:extLst>
            </c:dLbl>
            <c:dLbl>
              <c:idx val="7"/>
              <c:layout>
                <c:manualLayout>
                  <c:x val="-6.9444444444444448E-2"/>
                  <c:y val="-3.24074074074074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C9-4E14-B602-6C0E2BACAE4A}"/>
                </c:ext>
              </c:extLst>
            </c:dLbl>
            <c:spPr>
              <a:solidFill>
                <a:sysClr val="window" lastClr="FFFFFF"/>
              </a:solidFill>
              <a:ln w="12700" cap="flat" cmpd="sng" algn="ctr">
                <a:solidFill>
                  <a:srgbClr val="FFC000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Sales_MIS!$G$8:$G$15</c:f>
              <c:strCache>
                <c:ptCount val="8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 Phone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Tablet</c:v>
                </c:pt>
              </c:strCache>
            </c:strRef>
          </c:cat>
          <c:val>
            <c:numRef>
              <c:f>Sales_MIS!$H$8:$H$15</c:f>
              <c:numCache>
                <c:formatCode>General</c:formatCode>
                <c:ptCount val="8"/>
                <c:pt idx="0">
                  <c:v>571600</c:v>
                </c:pt>
                <c:pt idx="1">
                  <c:v>590500</c:v>
                </c:pt>
                <c:pt idx="2">
                  <c:v>2543500</c:v>
                </c:pt>
                <c:pt idx="3">
                  <c:v>2699400</c:v>
                </c:pt>
                <c:pt idx="4">
                  <c:v>1450100</c:v>
                </c:pt>
                <c:pt idx="5">
                  <c:v>551200</c:v>
                </c:pt>
                <c:pt idx="6">
                  <c:v>1316400</c:v>
                </c:pt>
                <c:pt idx="7">
                  <c:v>1792100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6C9-4E14-B602-6C0E2BAC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3</xdr:row>
      <xdr:rowOff>69850</xdr:rowOff>
    </xdr:from>
    <xdr:to>
      <xdr:col>8</xdr:col>
      <xdr:colOff>552450</xdr:colOff>
      <xdr:row>11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AE1EE-8ED3-4DE5-B8B6-773050345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499369</xdr:colOff>
      <xdr:row>11</xdr:row>
      <xdr:rowOff>133350</xdr:rowOff>
    </xdr:from>
    <xdr:to>
      <xdr:col>8</xdr:col>
      <xdr:colOff>552450</xdr:colOff>
      <xdr:row>21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DC2742-F2F8-4BD2-A4CC-788D4B68B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44450</xdr:colOff>
      <xdr:row>3</xdr:row>
      <xdr:rowOff>107950</xdr:rowOff>
    </xdr:from>
    <xdr:to>
      <xdr:col>17</xdr:col>
      <xdr:colOff>349250</xdr:colOff>
      <xdr:row>21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133EA0-DEFB-4167-9075-D1E7ACE5F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ay Daundkar" refreshedDate="46292.733971759262" createdVersion="8" refreshedVersion="8" minRefreshableVersion="3" recordCount="150" xr:uid="{4EC7F38D-B7CE-4A37-9B4D-16D1AD1FC9C4}">
  <cacheSource type="worksheet">
    <worksheetSource ref="A1:T151" sheet="Sales_Raw_Data"/>
  </cacheSource>
  <cacheFields count="21">
    <cacheField name="Date" numFmtId="15">
      <sharedItems containsSemiMixedTypes="0" containsNonDate="0" containsDate="1" containsString="0" minDate="2026-04-01T00:00:00" maxDate="2026-06-26T00:00:00"/>
    </cacheField>
    <cacheField name="Month" numFmtId="15">
      <sharedItems count="3">
        <s v="Apr"/>
        <s v="May"/>
        <s v="Jun"/>
      </sharedItems>
    </cacheField>
    <cacheField name="Invoice_No" numFmtId="0">
      <sharedItems/>
    </cacheField>
    <cacheField name="Customer_ID" numFmtId="0">
      <sharedItems/>
    </cacheField>
    <cacheField name="Customer_Name" numFmtId="0">
      <sharedItems/>
    </cacheField>
    <cacheField name="Salesperson" numFmtId="0">
      <sharedItems count="5">
        <s v="Amit"/>
        <s v="Priya"/>
        <s v="Rahul"/>
        <s v="Neha"/>
        <s v="Vikas"/>
      </sharedItems>
    </cacheField>
    <cacheField name="Region" numFmtId="0">
      <sharedItems count="4">
        <s v="West"/>
        <s v="South"/>
        <s v="North"/>
        <s v="East"/>
      </sharedItems>
    </cacheField>
    <cacheField name="Product" numFmtId="0">
      <sharedItems count="8">
        <s v="Laptop"/>
        <s v="Monitor"/>
        <s v="Keyboard"/>
        <s v="Mouse"/>
        <s v="Printer"/>
        <s v="Headphones"/>
        <s v="Tablet"/>
        <s v="Mobile Phone"/>
      </sharedItems>
    </cacheField>
    <cacheField name="Category" numFmtId="0">
      <sharedItems/>
    </cacheField>
    <cacheField name="Qty" numFmtId="0">
      <sharedItems containsSemiMixedTypes="0" containsString="0" containsNumber="1" containsInteger="1" minValue="1" maxValue="60"/>
    </cacheField>
    <cacheField name="Unit_Price" numFmtId="0">
      <sharedItems containsSemiMixedTypes="0" containsString="0" containsNumber="1" containsInteger="1" minValue="800" maxValue="50000"/>
    </cacheField>
    <cacheField name="Discount" numFmtId="0">
      <sharedItems containsSemiMixedTypes="0" containsString="0" containsNumber="1" containsInteger="1" minValue="200" maxValue="4000"/>
    </cacheField>
    <cacheField name="Payment_Mode" numFmtId="0">
      <sharedItems/>
    </cacheField>
    <cacheField name="Payment_Status" numFmtId="0">
      <sharedItems/>
    </cacheField>
    <cacheField name="Cost_Per_Unit" numFmtId="0">
      <sharedItems containsSemiMixedTypes="0" containsString="0" containsNumber="1" containsInteger="1" minValue="500" maxValue="42000"/>
    </cacheField>
    <cacheField name="Gross Sales" numFmtId="0">
      <sharedItems containsSemiMixedTypes="0" containsString="0" containsNumber="1" containsInteger="1" minValue="15000" maxValue="224000"/>
    </cacheField>
    <cacheField name="Net_Sales" numFmtId="0">
      <sharedItems containsSemiMixedTypes="0" containsString="0" containsNumber="1" containsInteger="1" minValue="14500" maxValue="220500" count="97">
        <n v="98000"/>
        <n v="59000"/>
        <n v="14500"/>
        <n v="15800"/>
        <n v="49000"/>
        <n v="52500"/>
        <n v="19600"/>
        <n v="86000"/>
        <n v="165000"/>
        <n v="23500"/>
        <n v="147500"/>
        <n v="21900"/>
        <n v="19700"/>
        <n v="35000"/>
        <n v="107500"/>
        <n v="29500"/>
        <n v="110000"/>
        <n v="97000"/>
        <n v="70500"/>
        <n v="70000"/>
        <n v="29200"/>
        <n v="65000"/>
        <n v="192500"/>
        <n v="36900"/>
        <n v="94000"/>
        <n v="146000"/>
        <n v="36500"/>
        <n v="31300"/>
        <n v="86500"/>
        <n v="137500"/>
        <n v="24500"/>
        <n v="82200"/>
        <n v="26300"/>
        <n v="27400"/>
        <n v="129000"/>
        <n v="82500"/>
        <n v="87500"/>
        <n v="97500"/>
        <n v="47200"/>
        <n v="32100"/>
        <n v="39000"/>
        <n v="64800"/>
        <n v="220000"/>
        <n v="98500"/>
        <n v="17500"/>
        <n v="52800"/>
        <n v="108000"/>
        <n v="165500"/>
        <n v="147000"/>
        <n v="82800"/>
        <n v="29300"/>
        <n v="70200"/>
        <n v="36700"/>
        <n v="137800"/>
        <n v="94200"/>
        <n v="35100"/>
        <n v="86400"/>
        <n v="193000"/>
        <n v="44100"/>
        <n v="43800"/>
        <n v="146500"/>
        <n v="129800"/>
        <n v="110200"/>
        <n v="70800"/>
        <n v="32200"/>
        <n v="35200"/>
        <n v="29400"/>
        <n v="106000"/>
        <n v="40900"/>
        <n v="196000"/>
        <n v="25000"/>
        <n v="70400"/>
        <n v="39300"/>
        <n v="220500"/>
        <n v="118000"/>
        <n v="53000"/>
        <n v="129500"/>
        <n v="138000"/>
        <n v="82600"/>
        <n v="87800"/>
        <n v="42900"/>
        <n v="86600"/>
        <n v="94400"/>
        <n v="34400"/>
        <n v="51300"/>
        <n v="46800"/>
        <n v="151200"/>
        <n v="106200"/>
        <n v="31200"/>
        <n v="61500"/>
        <n v="59100"/>
        <n v="70600"/>
        <n v="44000"/>
        <n v="37500"/>
        <n v="165200"/>
        <n v="88000"/>
        <n v="44200"/>
      </sharedItems>
    </cacheField>
    <cacheField name="Total Cost" numFmtId="0">
      <sharedItems containsSemiMixedTypes="0" containsString="0" containsNumber="1" containsInteger="1" minValue="9000" maxValue="184000"/>
    </cacheField>
    <cacheField name="Profit" numFmtId="0">
      <sharedItems containsSemiMixedTypes="0" containsString="0" containsNumber="1" containsInteger="1" minValue="4500" maxValue="36500"/>
    </cacheField>
    <cacheField name="Profit %" numFmtId="2">
      <sharedItems containsSemiMixedTypes="0" containsString="0" containsNumber="1" minValue="13.402061855670103" maxValue="39.024390243902438"/>
    </cacheField>
    <cacheField name="Profit_%" numFmtId="0" formula="Profit/Net_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d v="2026-04-01T00:00:00"/>
    <x v="0"/>
    <s v="INV0001"/>
    <s v="CUST001"/>
    <s v="Reliance Retail"/>
    <x v="0"/>
    <x v="0"/>
    <x v="0"/>
    <s v="Electronics"/>
    <n v="2"/>
    <n v="50000"/>
    <n v="2000"/>
    <s v="UPI"/>
    <s v="Paid"/>
    <n v="42000"/>
    <n v="100000"/>
    <x v="0"/>
    <n v="84000"/>
    <n v="14000"/>
    <n v="14.285714285714285"/>
  </r>
  <r>
    <d v="2026-04-01T00:00:00"/>
    <x v="0"/>
    <s v="INV0002"/>
    <s v="CUST002"/>
    <s v="Shree Enterprises"/>
    <x v="1"/>
    <x v="1"/>
    <x v="1"/>
    <s v="Electronics"/>
    <n v="5"/>
    <n v="12000"/>
    <n v="1000"/>
    <s v="Card"/>
    <s v="Paid"/>
    <n v="9500"/>
    <n v="60000"/>
    <x v="1"/>
    <n v="47500"/>
    <n v="11500"/>
    <n v="19.491525423728813"/>
  </r>
  <r>
    <d v="2026-04-02T00:00:00"/>
    <x v="0"/>
    <s v="INV0003"/>
    <s v="CUST003"/>
    <s v="Global Traders"/>
    <x v="2"/>
    <x v="0"/>
    <x v="2"/>
    <s v="Accessories"/>
    <n v="10"/>
    <n v="1500"/>
    <n v="500"/>
    <s v="Cash"/>
    <s v="Paid"/>
    <n v="900"/>
    <n v="15000"/>
    <x v="2"/>
    <n v="9000"/>
    <n v="5500"/>
    <n v="37.931034482758619"/>
  </r>
  <r>
    <d v="2026-04-02T00:00:00"/>
    <x v="0"/>
    <s v="INV0004"/>
    <s v="CUST004"/>
    <s v="Metro Solutions"/>
    <x v="3"/>
    <x v="2"/>
    <x v="3"/>
    <s v="Accessories"/>
    <n v="20"/>
    <n v="800"/>
    <n v="200"/>
    <s v="UPI"/>
    <s v="Pending"/>
    <n v="500"/>
    <n v="16000"/>
    <x v="3"/>
    <n v="10000"/>
    <n v="5800"/>
    <n v="36.708860759493675"/>
  </r>
  <r>
    <d v="2026-04-03T00:00:00"/>
    <x v="0"/>
    <s v="INV0005"/>
    <s v="CUST005"/>
    <s v="Sunrise Infotech"/>
    <x v="0"/>
    <x v="3"/>
    <x v="0"/>
    <s v="Electronics"/>
    <n v="1"/>
    <n v="50000"/>
    <n v="1000"/>
    <s v="Bank Transfer"/>
    <s v="Paid"/>
    <n v="42000"/>
    <n v="50000"/>
    <x v="4"/>
    <n v="42000"/>
    <n v="7000"/>
    <n v="14.285714285714285"/>
  </r>
  <r>
    <d v="2026-04-03T00:00:00"/>
    <x v="0"/>
    <s v="INV0006"/>
    <s v="CUST006"/>
    <s v="Prime Mart"/>
    <x v="4"/>
    <x v="0"/>
    <x v="4"/>
    <s v="Office Equipment"/>
    <n v="3"/>
    <n v="18000"/>
    <n v="1500"/>
    <s v="Card"/>
    <s v="Partial"/>
    <n v="14000"/>
    <n v="54000"/>
    <x v="5"/>
    <n v="42000"/>
    <n v="10500"/>
    <n v="20"/>
  </r>
  <r>
    <d v="2026-04-04T00:00:00"/>
    <x v="0"/>
    <s v="INV0007"/>
    <s v="CUST007"/>
    <s v="Tech World"/>
    <x v="1"/>
    <x v="1"/>
    <x v="5"/>
    <s v="Accessories"/>
    <n v="8"/>
    <n v="2500"/>
    <n v="400"/>
    <s v="UPI"/>
    <s v="Paid"/>
    <n v="1500"/>
    <n v="20000"/>
    <x v="6"/>
    <n v="12000"/>
    <n v="7600"/>
    <n v="38.775510204081634"/>
  </r>
  <r>
    <d v="2026-04-04T00:00:00"/>
    <x v="0"/>
    <s v="INV0008"/>
    <s v="CUST008"/>
    <s v="Modern Office"/>
    <x v="2"/>
    <x v="2"/>
    <x v="6"/>
    <s v="Electronics"/>
    <n v="4"/>
    <n v="22000"/>
    <n v="2000"/>
    <s v="Bank Transfer"/>
    <s v="Pending"/>
    <n v="17500"/>
    <n v="88000"/>
    <x v="7"/>
    <n v="70000"/>
    <n v="16000"/>
    <n v="18.604651162790699"/>
  </r>
  <r>
    <d v="2026-04-05T00:00:00"/>
    <x v="0"/>
    <s v="INV0009"/>
    <s v="CUST009"/>
    <s v="Galaxy Stores"/>
    <x v="3"/>
    <x v="3"/>
    <x v="7"/>
    <s v="Electronics"/>
    <n v="6"/>
    <n v="28000"/>
    <n v="3000"/>
    <s v="Card"/>
    <s v="Paid"/>
    <n v="23000"/>
    <n v="168000"/>
    <x v="8"/>
    <n v="138000"/>
    <n v="27000"/>
    <n v="16.363636363636363"/>
  </r>
  <r>
    <d v="2026-04-05T00:00:00"/>
    <x v="0"/>
    <s v="INV0010"/>
    <s v="CUST010"/>
    <s v="Om Enterprises"/>
    <x v="0"/>
    <x v="0"/>
    <x v="1"/>
    <s v="Electronics"/>
    <n v="2"/>
    <n v="12000"/>
    <n v="500"/>
    <s v="UPI"/>
    <s v="Paid"/>
    <n v="9500"/>
    <n v="24000"/>
    <x v="9"/>
    <n v="19000"/>
    <n v="4500"/>
    <n v="19.148936170212767"/>
  </r>
  <r>
    <d v="2026-04-06T00:00:00"/>
    <x v="0"/>
    <s v="INV0011"/>
    <s v="CUST011"/>
    <s v="City Computers"/>
    <x v="4"/>
    <x v="1"/>
    <x v="0"/>
    <s v="Electronics"/>
    <n v="3"/>
    <n v="50000"/>
    <n v="2500"/>
    <s v="Bank Transfer"/>
    <s v="Partial"/>
    <n v="42000"/>
    <n v="150000"/>
    <x v="10"/>
    <n v="126000"/>
    <n v="21500"/>
    <n v="14.576271186440678"/>
  </r>
  <r>
    <d v="2026-04-06T00:00:00"/>
    <x v="0"/>
    <s v="INV0012"/>
    <s v="CUST012"/>
    <s v="National Traders"/>
    <x v="1"/>
    <x v="2"/>
    <x v="2"/>
    <s v="Accessories"/>
    <n v="15"/>
    <n v="1500"/>
    <n v="600"/>
    <s v="Cash"/>
    <s v="Paid"/>
    <n v="900"/>
    <n v="22500"/>
    <x v="11"/>
    <n v="13500"/>
    <n v="8400"/>
    <n v="38.356164383561641"/>
  </r>
  <r>
    <d v="2026-04-07T00:00:00"/>
    <x v="0"/>
    <s v="INV0013"/>
    <s v="CUST013"/>
    <s v="Star Electronics"/>
    <x v="2"/>
    <x v="3"/>
    <x v="3"/>
    <s v="Accessories"/>
    <n v="25"/>
    <n v="800"/>
    <n v="300"/>
    <s v="UPI"/>
    <s v="Paid"/>
    <n v="500"/>
    <n v="20000"/>
    <x v="12"/>
    <n v="12500"/>
    <n v="7200"/>
    <n v="36.548223350253807"/>
  </r>
  <r>
    <d v="2026-04-07T00:00:00"/>
    <x v="0"/>
    <s v="INV0014"/>
    <s v="CUST014"/>
    <s v="Elite Solutions"/>
    <x v="3"/>
    <x v="0"/>
    <x v="4"/>
    <s v="Office Equipment"/>
    <n v="2"/>
    <n v="18000"/>
    <n v="1000"/>
    <s v="Card"/>
    <s v="Pending"/>
    <n v="14000"/>
    <n v="36000"/>
    <x v="13"/>
    <n v="28000"/>
    <n v="7000"/>
    <n v="20"/>
  </r>
  <r>
    <d v="2026-04-08T00:00:00"/>
    <x v="0"/>
    <s v="INV0015"/>
    <s v="CUST015"/>
    <s v="Shivam Enterprises"/>
    <x v="0"/>
    <x v="1"/>
    <x v="6"/>
    <s v="Electronics"/>
    <n v="5"/>
    <n v="22000"/>
    <n v="2500"/>
    <s v="Bank Transfer"/>
    <s v="Paid"/>
    <n v="17500"/>
    <n v="110000"/>
    <x v="14"/>
    <n v="87500"/>
    <n v="20000"/>
    <n v="18.604651162790699"/>
  </r>
  <r>
    <d v="2026-04-08T00:00:00"/>
    <x v="0"/>
    <s v="INV0016"/>
    <s v="CUST016"/>
    <s v="Digital Hub"/>
    <x v="4"/>
    <x v="2"/>
    <x v="5"/>
    <s v="Accessories"/>
    <n v="12"/>
    <n v="2500"/>
    <n v="500"/>
    <s v="UPI"/>
    <s v="Paid"/>
    <n v="1500"/>
    <n v="30000"/>
    <x v="15"/>
    <n v="18000"/>
    <n v="11500"/>
    <n v="38.983050847457626"/>
  </r>
  <r>
    <d v="2026-04-09T00:00:00"/>
    <x v="0"/>
    <s v="INV0017"/>
    <s v="CUST017"/>
    <s v="Green Valley Stores"/>
    <x v="1"/>
    <x v="3"/>
    <x v="7"/>
    <s v="Electronics"/>
    <n v="4"/>
    <n v="28000"/>
    <n v="2000"/>
    <s v="Card"/>
    <s v="Partial"/>
    <n v="23000"/>
    <n v="112000"/>
    <x v="16"/>
    <n v="92000"/>
    <n v="18000"/>
    <n v="16.363636363636363"/>
  </r>
  <r>
    <d v="2026-04-09T00:00:00"/>
    <x v="0"/>
    <s v="INV0018"/>
    <s v="CUST018"/>
    <s v="Metro Retail"/>
    <x v="2"/>
    <x v="0"/>
    <x v="0"/>
    <s v="Electronics"/>
    <n v="2"/>
    <n v="50000"/>
    <n v="3000"/>
    <s v="UPI"/>
    <s v="Paid"/>
    <n v="42000"/>
    <n v="100000"/>
    <x v="17"/>
    <n v="84000"/>
    <n v="13000"/>
    <n v="13.402061855670103"/>
  </r>
  <r>
    <d v="2026-04-10T00:00:00"/>
    <x v="0"/>
    <s v="INV0019"/>
    <s v="CUST019"/>
    <s v="Prime Enterprises"/>
    <x v="3"/>
    <x v="1"/>
    <x v="1"/>
    <s v="Electronics"/>
    <n v="6"/>
    <n v="12000"/>
    <n v="1500"/>
    <s v="Cash"/>
    <s v="Paid"/>
    <n v="9500"/>
    <n v="72000"/>
    <x v="18"/>
    <n v="57000"/>
    <n v="13500"/>
    <n v="19.148936170212767"/>
  </r>
  <r>
    <d v="2026-04-10T00:00:00"/>
    <x v="0"/>
    <s v="INV0020"/>
    <s v="CUST020"/>
    <s v="Techno Mart"/>
    <x v="0"/>
    <x v="2"/>
    <x v="4"/>
    <s v="Office Equipment"/>
    <n v="4"/>
    <n v="18000"/>
    <n v="2000"/>
    <s v="Bank Transfer"/>
    <s v="Pending"/>
    <n v="14000"/>
    <n v="72000"/>
    <x v="19"/>
    <n v="56000"/>
    <n v="14000"/>
    <n v="20"/>
  </r>
  <r>
    <d v="2026-04-11T00:00:00"/>
    <x v="0"/>
    <s v="INV0021"/>
    <s v="CUST021"/>
    <s v="Smart Solutions"/>
    <x v="4"/>
    <x v="3"/>
    <x v="2"/>
    <s v="Accessories"/>
    <n v="20"/>
    <n v="1500"/>
    <n v="800"/>
    <s v="UPI"/>
    <s v="Paid"/>
    <n v="900"/>
    <n v="30000"/>
    <x v="20"/>
    <n v="18000"/>
    <n v="11200"/>
    <n v="38.356164383561641"/>
  </r>
  <r>
    <d v="2026-04-11T00:00:00"/>
    <x v="0"/>
    <s v="INV0022"/>
    <s v="CUST022"/>
    <s v="Shree Computers"/>
    <x v="1"/>
    <x v="0"/>
    <x v="3"/>
    <s v="Accessories"/>
    <n v="30"/>
    <n v="800"/>
    <n v="500"/>
    <s v="Card"/>
    <s v="Paid"/>
    <n v="500"/>
    <n v="24000"/>
    <x v="9"/>
    <n v="15000"/>
    <n v="8500"/>
    <n v="36.170212765957451"/>
  </r>
  <r>
    <d v="2026-04-12T00:00:00"/>
    <x v="0"/>
    <s v="INV0023"/>
    <s v="CUST023"/>
    <s v="Future Tech"/>
    <x v="2"/>
    <x v="1"/>
    <x v="0"/>
    <s v="Electronics"/>
    <n v="2"/>
    <n v="50000"/>
    <n v="2000"/>
    <s v="Bank Transfer"/>
    <s v="Partial"/>
    <n v="42000"/>
    <n v="100000"/>
    <x v="0"/>
    <n v="84000"/>
    <n v="14000"/>
    <n v="14.285714285714285"/>
  </r>
  <r>
    <d v="2026-04-12T00:00:00"/>
    <x v="0"/>
    <s v="INV0024"/>
    <s v="CUST024"/>
    <s v="Classic Traders"/>
    <x v="3"/>
    <x v="2"/>
    <x v="6"/>
    <s v="Electronics"/>
    <n v="3"/>
    <n v="22000"/>
    <n v="1000"/>
    <s v="UPI"/>
    <s v="Paid"/>
    <n v="17500"/>
    <n v="66000"/>
    <x v="21"/>
    <n v="52500"/>
    <n v="12500"/>
    <n v="19.230769230769234"/>
  </r>
  <r>
    <d v="2026-04-13T00:00:00"/>
    <x v="0"/>
    <s v="INV0025"/>
    <s v="CUST025"/>
    <s v="Max Electronics"/>
    <x v="0"/>
    <x v="3"/>
    <x v="7"/>
    <s v="Electronics"/>
    <n v="7"/>
    <n v="28000"/>
    <n v="3500"/>
    <s v="Card"/>
    <s v="Paid"/>
    <n v="23000"/>
    <n v="196000"/>
    <x v="22"/>
    <n v="161000"/>
    <n v="31500"/>
    <n v="16.363636363636363"/>
  </r>
  <r>
    <d v="2026-04-13T00:00:00"/>
    <x v="0"/>
    <s v="INV0026"/>
    <s v="CUST026"/>
    <s v="City Mart"/>
    <x v="4"/>
    <x v="0"/>
    <x v="5"/>
    <s v="Accessories"/>
    <n v="15"/>
    <n v="2500"/>
    <n v="600"/>
    <s v="Cash"/>
    <s v="Pending"/>
    <n v="1500"/>
    <n v="37500"/>
    <x v="23"/>
    <n v="22500"/>
    <n v="14400"/>
    <n v="39.024390243902438"/>
  </r>
  <r>
    <d v="2026-04-14T00:00:00"/>
    <x v="0"/>
    <s v="INV0027"/>
    <s v="CUST027"/>
    <s v="Bright Solutions"/>
    <x v="1"/>
    <x v="1"/>
    <x v="4"/>
    <s v="Office Equipment"/>
    <n v="2"/>
    <n v="18000"/>
    <n v="1000"/>
    <s v="UPI"/>
    <s v="Paid"/>
    <n v="14000"/>
    <n v="36000"/>
    <x v="13"/>
    <n v="28000"/>
    <n v="7000"/>
    <n v="20"/>
  </r>
  <r>
    <d v="2026-04-14T00:00:00"/>
    <x v="0"/>
    <s v="INV0028"/>
    <s v="CUST028"/>
    <s v="National Office"/>
    <x v="2"/>
    <x v="2"/>
    <x v="1"/>
    <s v="Electronics"/>
    <n v="8"/>
    <n v="12000"/>
    <n v="2000"/>
    <s v="Bank Transfer"/>
    <s v="Paid"/>
    <n v="9500"/>
    <n v="96000"/>
    <x v="24"/>
    <n v="76000"/>
    <n v="18000"/>
    <n v="19.148936170212767"/>
  </r>
  <r>
    <d v="2026-04-15T00:00:00"/>
    <x v="0"/>
    <s v="INV0029"/>
    <s v="CUST029"/>
    <s v="Galaxy Infotech"/>
    <x v="3"/>
    <x v="3"/>
    <x v="0"/>
    <s v="Electronics"/>
    <n v="3"/>
    <n v="50000"/>
    <n v="4000"/>
    <s v="Card"/>
    <s v="Partial"/>
    <n v="42000"/>
    <n v="150000"/>
    <x v="25"/>
    <n v="126000"/>
    <n v="20000"/>
    <n v="13.698630136986301"/>
  </r>
  <r>
    <d v="2026-04-15T00:00:00"/>
    <x v="0"/>
    <s v="INV0030"/>
    <s v="CUST030"/>
    <s v="Omkar Traders"/>
    <x v="0"/>
    <x v="0"/>
    <x v="2"/>
    <s v="Accessories"/>
    <n v="25"/>
    <n v="1500"/>
    <n v="1000"/>
    <s v="UPI"/>
    <s v="Paid"/>
    <n v="900"/>
    <n v="37500"/>
    <x v="26"/>
    <n v="22500"/>
    <n v="14000"/>
    <n v="38.356164383561641"/>
  </r>
  <r>
    <d v="2026-04-16T00:00:00"/>
    <x v="0"/>
    <s v="INV0031"/>
    <s v="CUST031"/>
    <s v="Sunrise Stores"/>
    <x v="4"/>
    <x v="1"/>
    <x v="3"/>
    <s v="Accessories"/>
    <n v="40"/>
    <n v="800"/>
    <n v="700"/>
    <s v="Cash"/>
    <s v="Paid"/>
    <n v="500"/>
    <n v="32000"/>
    <x v="27"/>
    <n v="20000"/>
    <n v="11300"/>
    <n v="36.102236421725244"/>
  </r>
  <r>
    <d v="2026-04-16T00:00:00"/>
    <x v="0"/>
    <s v="INV0032"/>
    <s v="CUST032"/>
    <s v="Prime Computers"/>
    <x v="1"/>
    <x v="2"/>
    <x v="6"/>
    <s v="Electronics"/>
    <n v="4"/>
    <n v="22000"/>
    <n v="1500"/>
    <s v="Bank Transfer"/>
    <s v="Pending"/>
    <n v="17500"/>
    <n v="88000"/>
    <x v="28"/>
    <n v="70000"/>
    <n v="16500"/>
    <n v="19.075144508670519"/>
  </r>
  <r>
    <d v="2026-04-17T00:00:00"/>
    <x v="0"/>
    <s v="INV0033"/>
    <s v="CUST033"/>
    <s v="Tech Point"/>
    <x v="2"/>
    <x v="3"/>
    <x v="7"/>
    <s v="Electronics"/>
    <n v="5"/>
    <n v="28000"/>
    <n v="2500"/>
    <s v="UPI"/>
    <s v="Paid"/>
    <n v="23000"/>
    <n v="140000"/>
    <x v="29"/>
    <n v="115000"/>
    <n v="22500"/>
    <n v="16.363636363636363"/>
  </r>
  <r>
    <d v="2026-04-17T00:00:00"/>
    <x v="0"/>
    <s v="INV0034"/>
    <s v="CUST034"/>
    <s v="Modern Traders"/>
    <x v="3"/>
    <x v="0"/>
    <x v="4"/>
    <s v="Office Equipment"/>
    <n v="3"/>
    <n v="18000"/>
    <n v="1500"/>
    <s v="Card"/>
    <s v="Paid"/>
    <n v="14000"/>
    <n v="54000"/>
    <x v="5"/>
    <n v="42000"/>
    <n v="10500"/>
    <n v="20"/>
  </r>
  <r>
    <d v="2026-04-18T00:00:00"/>
    <x v="0"/>
    <s v="INV0035"/>
    <s v="CUST035"/>
    <s v="Elite Retail"/>
    <x v="0"/>
    <x v="1"/>
    <x v="5"/>
    <s v="Accessories"/>
    <n v="10"/>
    <n v="2500"/>
    <n v="500"/>
    <s v="UPI"/>
    <s v="Partial"/>
    <n v="1500"/>
    <n v="25000"/>
    <x v="30"/>
    <n v="15000"/>
    <n v="9500"/>
    <n v="38.775510204081634"/>
  </r>
  <r>
    <d v="2026-04-18T00:00:00"/>
    <x v="0"/>
    <s v="INV0036"/>
    <s v="CUST036"/>
    <s v="Shree Enterprises"/>
    <x v="4"/>
    <x v="2"/>
    <x v="0"/>
    <s v="Electronics"/>
    <n v="1"/>
    <n v="50000"/>
    <n v="1000"/>
    <s v="Bank Transfer"/>
    <s v="Paid"/>
    <n v="42000"/>
    <n v="50000"/>
    <x v="4"/>
    <n v="42000"/>
    <n v="7000"/>
    <n v="14.285714285714285"/>
  </r>
  <r>
    <d v="2026-04-19T00:00:00"/>
    <x v="0"/>
    <s v="INV0037"/>
    <s v="CUST037"/>
    <s v="Global Solutions"/>
    <x v="1"/>
    <x v="3"/>
    <x v="1"/>
    <s v="Electronics"/>
    <n v="7"/>
    <n v="12000"/>
    <n v="1800"/>
    <s v="Card"/>
    <s v="Paid"/>
    <n v="9500"/>
    <n v="84000"/>
    <x v="31"/>
    <n v="66500"/>
    <n v="15700"/>
    <n v="19.099756690997566"/>
  </r>
  <r>
    <d v="2026-04-19T00:00:00"/>
    <x v="0"/>
    <s v="INV0038"/>
    <s v="CUST038"/>
    <s v="Metro Computers"/>
    <x v="2"/>
    <x v="0"/>
    <x v="2"/>
    <s v="Accessories"/>
    <n v="18"/>
    <n v="1500"/>
    <n v="700"/>
    <s v="Cash"/>
    <s v="Pending"/>
    <n v="900"/>
    <n v="27000"/>
    <x v="32"/>
    <n v="16200"/>
    <n v="10100"/>
    <n v="38.403041825095059"/>
  </r>
  <r>
    <d v="2026-04-20T00:00:00"/>
    <x v="0"/>
    <s v="INV0039"/>
    <s v="CUST039"/>
    <s v="Digital World"/>
    <x v="3"/>
    <x v="1"/>
    <x v="3"/>
    <s v="Accessories"/>
    <n v="35"/>
    <n v="800"/>
    <n v="600"/>
    <s v="UPI"/>
    <s v="Paid"/>
    <n v="500"/>
    <n v="28000"/>
    <x v="33"/>
    <n v="17500"/>
    <n v="9900"/>
    <n v="36.131386861313871"/>
  </r>
  <r>
    <d v="2026-04-20T00:00:00"/>
    <x v="0"/>
    <s v="INV0040"/>
    <s v="CUST040"/>
    <s v="Smart Mart"/>
    <x v="0"/>
    <x v="2"/>
    <x v="6"/>
    <s v="Electronics"/>
    <n v="6"/>
    <n v="22000"/>
    <n v="3000"/>
    <s v="Card"/>
    <s v="Paid"/>
    <n v="17500"/>
    <n v="132000"/>
    <x v="34"/>
    <n v="105000"/>
    <n v="24000"/>
    <n v="18.604651162790699"/>
  </r>
  <r>
    <d v="2026-04-21T00:00:00"/>
    <x v="0"/>
    <s v="INV0041"/>
    <s v="CUST041"/>
    <s v="Future Enterprises"/>
    <x v="4"/>
    <x v="3"/>
    <x v="7"/>
    <s v="Electronics"/>
    <n v="3"/>
    <n v="28000"/>
    <n v="1500"/>
    <s v="Bank Transfer"/>
    <s v="Partial"/>
    <n v="23000"/>
    <n v="84000"/>
    <x v="35"/>
    <n v="69000"/>
    <n v="13500"/>
    <n v="16.363636363636363"/>
  </r>
  <r>
    <d v="2026-04-21T00:00:00"/>
    <x v="0"/>
    <s v="INV0042"/>
    <s v="CUST042"/>
    <s v="City Solutions"/>
    <x v="1"/>
    <x v="0"/>
    <x v="4"/>
    <s v="Office Equipment"/>
    <n v="5"/>
    <n v="18000"/>
    <n v="2500"/>
    <s v="UPI"/>
    <s v="Paid"/>
    <n v="14000"/>
    <n v="90000"/>
    <x v="36"/>
    <n v="70000"/>
    <n v="17500"/>
    <n v="20"/>
  </r>
  <r>
    <d v="2026-04-22T00:00:00"/>
    <x v="0"/>
    <s v="INV0043"/>
    <s v="CUST043"/>
    <s v="Max Traders"/>
    <x v="2"/>
    <x v="1"/>
    <x v="0"/>
    <s v="Electronics"/>
    <n v="2"/>
    <n v="50000"/>
    <n v="2500"/>
    <s v="Card"/>
    <s v="Paid"/>
    <n v="42000"/>
    <n v="100000"/>
    <x v="37"/>
    <n v="84000"/>
    <n v="13500"/>
    <n v="13.846153846153847"/>
  </r>
  <r>
    <d v="2026-04-22T00:00:00"/>
    <x v="0"/>
    <s v="INV0044"/>
    <s v="CUST044"/>
    <s v="National Mart"/>
    <x v="3"/>
    <x v="2"/>
    <x v="5"/>
    <s v="Accessories"/>
    <n v="20"/>
    <n v="2500"/>
    <n v="1000"/>
    <s v="Cash"/>
    <s v="Pending"/>
    <n v="1500"/>
    <n v="50000"/>
    <x v="4"/>
    <n v="30000"/>
    <n v="19000"/>
    <n v="38.775510204081634"/>
  </r>
  <r>
    <d v="2026-04-23T00:00:00"/>
    <x v="0"/>
    <s v="INV0045"/>
    <s v="CUST045"/>
    <s v="Star Computers"/>
    <x v="0"/>
    <x v="3"/>
    <x v="1"/>
    <s v="Electronics"/>
    <n v="4"/>
    <n v="12000"/>
    <n v="800"/>
    <s v="UPI"/>
    <s v="Paid"/>
    <n v="9500"/>
    <n v="48000"/>
    <x v="38"/>
    <n v="38000"/>
    <n v="9200"/>
    <n v="19.491525423728813"/>
  </r>
  <r>
    <d v="2026-04-23T00:00:00"/>
    <x v="0"/>
    <s v="INV0046"/>
    <s v="CUST046"/>
    <s v="Green Valley"/>
    <x v="4"/>
    <x v="0"/>
    <x v="2"/>
    <s v="Accessories"/>
    <n v="22"/>
    <n v="1500"/>
    <n v="900"/>
    <s v="Bank Transfer"/>
    <s v="Paid"/>
    <n v="900"/>
    <n v="33000"/>
    <x v="39"/>
    <n v="19800"/>
    <n v="12300"/>
    <n v="38.31775700934579"/>
  </r>
  <r>
    <d v="2026-04-24T00:00:00"/>
    <x v="0"/>
    <s v="INV0047"/>
    <s v="CUST047"/>
    <s v="Om Solutions"/>
    <x v="1"/>
    <x v="1"/>
    <x v="3"/>
    <s v="Accessories"/>
    <n v="50"/>
    <n v="800"/>
    <n v="1000"/>
    <s v="Card"/>
    <s v="Partial"/>
    <n v="500"/>
    <n v="40000"/>
    <x v="40"/>
    <n v="25000"/>
    <n v="14000"/>
    <n v="35.897435897435898"/>
  </r>
  <r>
    <d v="2026-04-24T00:00:00"/>
    <x v="0"/>
    <s v="INV0048"/>
    <s v="CUST048"/>
    <s v="Prime Retail"/>
    <x v="2"/>
    <x v="2"/>
    <x v="6"/>
    <s v="Electronics"/>
    <n v="3"/>
    <n v="22000"/>
    <n v="1200"/>
    <s v="UPI"/>
    <s v="Paid"/>
    <n v="17500"/>
    <n v="66000"/>
    <x v="41"/>
    <n v="52500"/>
    <n v="12300"/>
    <n v="18.981481481481481"/>
  </r>
  <r>
    <d v="2026-04-25T00:00:00"/>
    <x v="0"/>
    <s v="INV0049"/>
    <s v="CUST049"/>
    <s v="Tech World"/>
    <x v="3"/>
    <x v="3"/>
    <x v="7"/>
    <s v="Electronics"/>
    <n v="8"/>
    <n v="28000"/>
    <n v="4000"/>
    <s v="Bank Transfer"/>
    <s v="Paid"/>
    <n v="23000"/>
    <n v="224000"/>
    <x v="42"/>
    <n v="184000"/>
    <n v="36000"/>
    <n v="16.363636363636363"/>
  </r>
  <r>
    <d v="2026-04-25T00:00:00"/>
    <x v="0"/>
    <s v="INV0050"/>
    <s v="CUST050"/>
    <s v="Elite Enterprises"/>
    <x v="0"/>
    <x v="0"/>
    <x v="4"/>
    <s v="Office Equipment"/>
    <n v="4"/>
    <n v="18000"/>
    <n v="2000"/>
    <s v="Card"/>
    <s v="Pending"/>
    <n v="14000"/>
    <n v="72000"/>
    <x v="19"/>
    <n v="56000"/>
    <n v="14000"/>
    <n v="20"/>
  </r>
  <r>
    <d v="2026-05-01T00:00:00"/>
    <x v="1"/>
    <s v="INV0051"/>
    <s v="CUST051"/>
    <s v="Shree Logistics"/>
    <x v="1"/>
    <x v="1"/>
    <x v="0"/>
    <s v="Electronics"/>
    <n v="2"/>
    <n v="50000"/>
    <n v="1500"/>
    <s v="UPI"/>
    <s v="Paid"/>
    <n v="42000"/>
    <n v="100000"/>
    <x v="43"/>
    <n v="84000"/>
    <n v="14500"/>
    <n v="14.720812182741117"/>
  </r>
  <r>
    <d v="2026-05-01T00:00:00"/>
    <x v="1"/>
    <s v="INV0052"/>
    <s v="CUST052"/>
    <s v="Vertex Solutions"/>
    <x v="2"/>
    <x v="0"/>
    <x v="1"/>
    <s v="Electronics"/>
    <n v="4"/>
    <n v="12000"/>
    <n v="800"/>
    <s v="Card"/>
    <s v="Paid"/>
    <n v="9500"/>
    <n v="48000"/>
    <x v="38"/>
    <n v="38000"/>
    <n v="9200"/>
    <n v="19.491525423728813"/>
  </r>
  <r>
    <d v="2026-05-02T00:00:00"/>
    <x v="1"/>
    <s v="INV0053"/>
    <s v="CUST053"/>
    <s v="Blue Star Traders"/>
    <x v="3"/>
    <x v="2"/>
    <x v="2"/>
    <s v="Accessories"/>
    <n v="12"/>
    <n v="1500"/>
    <n v="500"/>
    <s v="Cash"/>
    <s v="Pending"/>
    <n v="900"/>
    <n v="18000"/>
    <x v="44"/>
    <n v="10800"/>
    <n v="6700"/>
    <n v="38.285714285714285"/>
  </r>
  <r>
    <d v="2026-05-02T00:00:00"/>
    <x v="1"/>
    <s v="INV0054"/>
    <s v="CUST054"/>
    <s v="Sunrise Technologies"/>
    <x v="0"/>
    <x v="3"/>
    <x v="3"/>
    <s v="Accessories"/>
    <n v="25"/>
    <n v="800"/>
    <n v="400"/>
    <s v="UPI"/>
    <s v="Paid"/>
    <n v="500"/>
    <n v="20000"/>
    <x v="6"/>
    <n v="12500"/>
    <n v="7100"/>
    <n v="36.224489795918366"/>
  </r>
  <r>
    <d v="2026-05-03T00:00:00"/>
    <x v="1"/>
    <s v="INV0055"/>
    <s v="CUST055"/>
    <s v="Global Enterprises"/>
    <x v="4"/>
    <x v="0"/>
    <x v="4"/>
    <s v="Office Equipment"/>
    <n v="3"/>
    <n v="18000"/>
    <n v="1200"/>
    <s v="Bank Transfer"/>
    <s v="Partial"/>
    <n v="14000"/>
    <n v="54000"/>
    <x v="45"/>
    <n v="42000"/>
    <n v="10800"/>
    <n v="20.454545454545457"/>
  </r>
  <r>
    <d v="2026-05-03T00:00:00"/>
    <x v="1"/>
    <s v="INV0056"/>
    <s v="CUST056"/>
    <s v="Metro Infotech"/>
    <x v="1"/>
    <x v="1"/>
    <x v="6"/>
    <s v="Electronics"/>
    <n v="5"/>
    <n v="22000"/>
    <n v="2000"/>
    <s v="Card"/>
    <s v="Paid"/>
    <n v="17500"/>
    <n v="110000"/>
    <x v="46"/>
    <n v="87500"/>
    <n v="20500"/>
    <n v="18.981481481481481"/>
  </r>
  <r>
    <d v="2026-05-04T00:00:00"/>
    <x v="1"/>
    <s v="INV0057"/>
    <s v="CUST057"/>
    <s v="Prime Retail"/>
    <x v="2"/>
    <x v="2"/>
    <x v="5"/>
    <s v="Accessories"/>
    <n v="10"/>
    <n v="2500"/>
    <n v="500"/>
    <s v="UPI"/>
    <s v="Paid"/>
    <n v="1500"/>
    <n v="25000"/>
    <x v="30"/>
    <n v="15000"/>
    <n v="9500"/>
    <n v="38.775510204081634"/>
  </r>
  <r>
    <d v="2026-05-04T00:00:00"/>
    <x v="1"/>
    <s v="INV0058"/>
    <s v="CUST058"/>
    <s v="Smart Office"/>
    <x v="3"/>
    <x v="3"/>
    <x v="7"/>
    <s v="Electronics"/>
    <n v="6"/>
    <n v="28000"/>
    <n v="2500"/>
    <s v="Bank Transfer"/>
    <s v="Pending"/>
    <n v="23000"/>
    <n v="168000"/>
    <x v="47"/>
    <n v="138000"/>
    <n v="27500"/>
    <n v="16.61631419939577"/>
  </r>
  <r>
    <d v="2026-05-05T00:00:00"/>
    <x v="1"/>
    <s v="INV0059"/>
    <s v="CUST059"/>
    <s v="City Mart"/>
    <x v="0"/>
    <x v="0"/>
    <x v="0"/>
    <s v="Electronics"/>
    <n v="3"/>
    <n v="50000"/>
    <n v="3000"/>
    <s v="Card"/>
    <s v="Paid"/>
    <n v="42000"/>
    <n v="150000"/>
    <x v="48"/>
    <n v="126000"/>
    <n v="21000"/>
    <n v="14.285714285714285"/>
  </r>
  <r>
    <d v="2026-05-05T00:00:00"/>
    <x v="1"/>
    <s v="INV0060"/>
    <s v="CUST060"/>
    <s v="Elite Traders"/>
    <x v="4"/>
    <x v="1"/>
    <x v="1"/>
    <s v="Electronics"/>
    <n v="7"/>
    <n v="12000"/>
    <n v="1200"/>
    <s v="UPI"/>
    <s v="Partial"/>
    <n v="9500"/>
    <n v="84000"/>
    <x v="49"/>
    <n v="66500"/>
    <n v="16300"/>
    <n v="19.685990338164252"/>
  </r>
  <r>
    <d v="2026-05-06T00:00:00"/>
    <x v="1"/>
    <s v="INV0061"/>
    <s v="CUST001"/>
    <s v="Reliance Retail"/>
    <x v="1"/>
    <x v="0"/>
    <x v="2"/>
    <s v="Accessories"/>
    <n v="20"/>
    <n v="1500"/>
    <n v="700"/>
    <s v="Cash"/>
    <s v="Paid"/>
    <n v="900"/>
    <n v="30000"/>
    <x v="50"/>
    <n v="18000"/>
    <n v="11300"/>
    <n v="38.56655290102389"/>
  </r>
  <r>
    <d v="2026-05-06T00:00:00"/>
    <x v="1"/>
    <s v="INV0062"/>
    <s v="CUST002"/>
    <s v="Shree Enterprises"/>
    <x v="2"/>
    <x v="1"/>
    <x v="3"/>
    <s v="Accessories"/>
    <n v="30"/>
    <n v="800"/>
    <n v="500"/>
    <s v="UPI"/>
    <s v="Paid"/>
    <n v="500"/>
    <n v="24000"/>
    <x v="9"/>
    <n v="15000"/>
    <n v="8500"/>
    <n v="36.170212765957451"/>
  </r>
  <r>
    <d v="2026-05-07T00:00:00"/>
    <x v="1"/>
    <s v="INV0063"/>
    <s v="CUST003"/>
    <s v="Global Traders"/>
    <x v="3"/>
    <x v="2"/>
    <x v="0"/>
    <s v="Electronics"/>
    <n v="2"/>
    <n v="50000"/>
    <n v="2000"/>
    <s v="Bank Transfer"/>
    <s v="Pending"/>
    <n v="42000"/>
    <n v="100000"/>
    <x v="0"/>
    <n v="84000"/>
    <n v="14000"/>
    <n v="14.285714285714285"/>
  </r>
  <r>
    <d v="2026-05-07T00:00:00"/>
    <x v="1"/>
    <s v="INV0064"/>
    <s v="CUST004"/>
    <s v="Metro Solutions"/>
    <x v="0"/>
    <x v="3"/>
    <x v="4"/>
    <s v="Office Equipment"/>
    <n v="4"/>
    <n v="18000"/>
    <n v="1800"/>
    <s v="Card"/>
    <s v="Paid"/>
    <n v="14000"/>
    <n v="72000"/>
    <x v="51"/>
    <n v="56000"/>
    <n v="14200"/>
    <n v="20.227920227920229"/>
  </r>
  <r>
    <d v="2026-05-08T00:00:00"/>
    <x v="1"/>
    <s v="INV0065"/>
    <s v="CUST005"/>
    <s v="Sunrise Infotech"/>
    <x v="4"/>
    <x v="0"/>
    <x v="6"/>
    <s v="Electronics"/>
    <n v="3"/>
    <n v="22000"/>
    <n v="1200"/>
    <s v="UPI"/>
    <s v="Paid"/>
    <n v="17500"/>
    <n v="66000"/>
    <x v="41"/>
    <n v="52500"/>
    <n v="12300"/>
    <n v="18.981481481481481"/>
  </r>
  <r>
    <d v="2026-05-08T00:00:00"/>
    <x v="1"/>
    <s v="INV0066"/>
    <s v="CUST006"/>
    <s v="Prime Mart"/>
    <x v="1"/>
    <x v="1"/>
    <x v="5"/>
    <s v="Accessories"/>
    <n v="15"/>
    <n v="2500"/>
    <n v="800"/>
    <s v="Cash"/>
    <s v="Partial"/>
    <n v="1500"/>
    <n v="37500"/>
    <x v="52"/>
    <n v="22500"/>
    <n v="14200"/>
    <n v="38.69209809264305"/>
  </r>
  <r>
    <d v="2026-05-09T00:00:00"/>
    <x v="1"/>
    <s v="INV0067"/>
    <s v="CUST007"/>
    <s v="Tech World"/>
    <x v="2"/>
    <x v="2"/>
    <x v="7"/>
    <s v="Electronics"/>
    <n v="5"/>
    <n v="28000"/>
    <n v="2200"/>
    <s v="Card"/>
    <s v="Paid"/>
    <n v="23000"/>
    <n v="140000"/>
    <x v="53"/>
    <n v="115000"/>
    <n v="22800"/>
    <n v="16.545718432510885"/>
  </r>
  <r>
    <d v="2026-05-09T00:00:00"/>
    <x v="1"/>
    <s v="INV0068"/>
    <s v="CUST008"/>
    <s v="Modern Office"/>
    <x v="3"/>
    <x v="3"/>
    <x v="0"/>
    <s v="Electronics"/>
    <n v="1"/>
    <n v="50000"/>
    <n v="1000"/>
    <s v="UPI"/>
    <s v="Paid"/>
    <n v="42000"/>
    <n v="50000"/>
    <x v="4"/>
    <n v="42000"/>
    <n v="7000"/>
    <n v="14.285714285714285"/>
  </r>
  <r>
    <d v="2026-05-10T00:00:00"/>
    <x v="1"/>
    <s v="INV0069"/>
    <s v="CUST009"/>
    <s v="Galaxy Stores"/>
    <x v="0"/>
    <x v="0"/>
    <x v="1"/>
    <s v="Electronics"/>
    <n v="8"/>
    <n v="12000"/>
    <n v="1800"/>
    <s v="Bank Transfer"/>
    <s v="Pending"/>
    <n v="9500"/>
    <n v="96000"/>
    <x v="54"/>
    <n v="76000"/>
    <n v="18200"/>
    <n v="19.320594479830149"/>
  </r>
  <r>
    <d v="2026-05-10T00:00:00"/>
    <x v="1"/>
    <s v="INV0070"/>
    <s v="CUST010"/>
    <s v="Om Enterprises"/>
    <x v="4"/>
    <x v="1"/>
    <x v="4"/>
    <s v="Office Equipment"/>
    <n v="2"/>
    <n v="18000"/>
    <n v="900"/>
    <s v="Card"/>
    <s v="Paid"/>
    <n v="14000"/>
    <n v="36000"/>
    <x v="55"/>
    <n v="28000"/>
    <n v="7100"/>
    <n v="20.227920227920229"/>
  </r>
  <r>
    <d v="2026-05-11T00:00:00"/>
    <x v="1"/>
    <s v="INV0071"/>
    <s v="CUST011"/>
    <s v="City Computers"/>
    <x v="1"/>
    <x v="2"/>
    <x v="2"/>
    <s v="Accessories"/>
    <n v="25"/>
    <n v="1500"/>
    <n v="1000"/>
    <s v="UPI"/>
    <s v="Paid"/>
    <n v="900"/>
    <n v="37500"/>
    <x v="26"/>
    <n v="22500"/>
    <n v="14000"/>
    <n v="38.356164383561641"/>
  </r>
  <r>
    <d v="2026-05-11T00:00:00"/>
    <x v="1"/>
    <s v="INV0072"/>
    <s v="CUST012"/>
    <s v="National Traders"/>
    <x v="2"/>
    <x v="3"/>
    <x v="3"/>
    <s v="Accessories"/>
    <n v="35"/>
    <n v="800"/>
    <n v="600"/>
    <s v="Cash"/>
    <s v="Partial"/>
    <n v="500"/>
    <n v="28000"/>
    <x v="33"/>
    <n v="17500"/>
    <n v="9900"/>
    <n v="36.131386861313871"/>
  </r>
  <r>
    <d v="2026-05-12T00:00:00"/>
    <x v="1"/>
    <s v="INV0073"/>
    <s v="CUST013"/>
    <s v="Star Electronics"/>
    <x v="3"/>
    <x v="0"/>
    <x v="6"/>
    <s v="Electronics"/>
    <n v="4"/>
    <n v="22000"/>
    <n v="1600"/>
    <s v="Bank Transfer"/>
    <s v="Paid"/>
    <n v="17500"/>
    <n v="88000"/>
    <x v="56"/>
    <n v="70000"/>
    <n v="16400"/>
    <n v="18.981481481481481"/>
  </r>
  <r>
    <d v="2026-05-12T00:00:00"/>
    <x v="1"/>
    <s v="INV0074"/>
    <s v="CUST014"/>
    <s v="Elite Solutions"/>
    <x v="0"/>
    <x v="1"/>
    <x v="7"/>
    <s v="Electronics"/>
    <n v="7"/>
    <n v="28000"/>
    <n v="3000"/>
    <s v="Card"/>
    <s v="Pending"/>
    <n v="23000"/>
    <n v="196000"/>
    <x v="57"/>
    <n v="161000"/>
    <n v="32000"/>
    <n v="16.580310880829018"/>
  </r>
  <r>
    <d v="2026-05-13T00:00:00"/>
    <x v="1"/>
    <s v="INV0075"/>
    <s v="CUST015"/>
    <s v="Shivam Enterprises"/>
    <x v="4"/>
    <x v="2"/>
    <x v="5"/>
    <s v="Accessories"/>
    <n v="18"/>
    <n v="2500"/>
    <n v="900"/>
    <s v="UPI"/>
    <s v="Paid"/>
    <n v="1500"/>
    <n v="45000"/>
    <x v="58"/>
    <n v="27000"/>
    <n v="17100"/>
    <n v="38.775510204081634"/>
  </r>
  <r>
    <d v="2026-05-13T00:00:00"/>
    <x v="1"/>
    <s v="INV0076"/>
    <s v="CUST016"/>
    <s v="Digital Hub"/>
    <x v="1"/>
    <x v="3"/>
    <x v="0"/>
    <s v="Electronics"/>
    <n v="2"/>
    <n v="50000"/>
    <n v="2500"/>
    <s v="Bank Transfer"/>
    <s v="Partial"/>
    <n v="42000"/>
    <n v="100000"/>
    <x v="37"/>
    <n v="84000"/>
    <n v="13500"/>
    <n v="13.846153846153847"/>
  </r>
  <r>
    <d v="2026-05-14T00:00:00"/>
    <x v="1"/>
    <s v="INV0077"/>
    <s v="CUST017"/>
    <s v="Green Valley Stores"/>
    <x v="2"/>
    <x v="0"/>
    <x v="1"/>
    <s v="Electronics"/>
    <n v="5"/>
    <n v="12000"/>
    <n v="1000"/>
    <s v="Card"/>
    <s v="Paid"/>
    <n v="9500"/>
    <n v="60000"/>
    <x v="1"/>
    <n v="47500"/>
    <n v="11500"/>
    <n v="19.491525423728813"/>
  </r>
  <r>
    <d v="2026-05-14T00:00:00"/>
    <x v="1"/>
    <s v="INV0078"/>
    <s v="CUST018"/>
    <s v="Metro Retail"/>
    <x v="3"/>
    <x v="1"/>
    <x v="4"/>
    <s v="Office Equipment"/>
    <n v="3"/>
    <n v="18000"/>
    <n v="1500"/>
    <s v="UPI"/>
    <s v="Paid"/>
    <n v="14000"/>
    <n v="54000"/>
    <x v="5"/>
    <n v="42000"/>
    <n v="10500"/>
    <n v="20"/>
  </r>
  <r>
    <d v="2026-05-15T00:00:00"/>
    <x v="1"/>
    <s v="INV0079"/>
    <s v="CUST019"/>
    <s v="Prime Enterprises"/>
    <x v="0"/>
    <x v="2"/>
    <x v="2"/>
    <s v="Accessories"/>
    <n v="30"/>
    <n v="1500"/>
    <n v="1200"/>
    <s v="Cash"/>
    <s v="Pending"/>
    <n v="900"/>
    <n v="45000"/>
    <x v="59"/>
    <n v="27000"/>
    <n v="16800"/>
    <n v="38.356164383561641"/>
  </r>
  <r>
    <d v="2026-05-15T00:00:00"/>
    <x v="1"/>
    <s v="INV0080"/>
    <s v="CUST020"/>
    <s v="Techno Mart"/>
    <x v="4"/>
    <x v="3"/>
    <x v="3"/>
    <s v="Accessories"/>
    <n v="40"/>
    <n v="800"/>
    <n v="700"/>
    <s v="Card"/>
    <s v="Paid"/>
    <n v="500"/>
    <n v="32000"/>
    <x v="27"/>
    <n v="20000"/>
    <n v="11300"/>
    <n v="36.102236421725244"/>
  </r>
  <r>
    <d v="2026-05-16T00:00:00"/>
    <x v="1"/>
    <s v="INV0081"/>
    <s v="CUST021"/>
    <s v="Smart Solutions"/>
    <x v="1"/>
    <x v="0"/>
    <x v="0"/>
    <s v="Electronics"/>
    <n v="3"/>
    <n v="50000"/>
    <n v="3500"/>
    <s v="UPI"/>
    <s v="Paid"/>
    <n v="42000"/>
    <n v="150000"/>
    <x v="60"/>
    <n v="126000"/>
    <n v="20500"/>
    <n v="13.993174061433447"/>
  </r>
  <r>
    <d v="2026-05-16T00:00:00"/>
    <x v="1"/>
    <s v="INV0082"/>
    <s v="CUST022"/>
    <s v="Shree Computers"/>
    <x v="2"/>
    <x v="1"/>
    <x v="6"/>
    <s v="Electronics"/>
    <n v="6"/>
    <n v="22000"/>
    <n v="2200"/>
    <s v="Bank Transfer"/>
    <s v="Partial"/>
    <n v="17500"/>
    <n v="132000"/>
    <x v="61"/>
    <n v="105000"/>
    <n v="24800"/>
    <n v="19.106317411402156"/>
  </r>
  <r>
    <d v="2026-05-17T00:00:00"/>
    <x v="1"/>
    <s v="INV0083"/>
    <s v="CUST023"/>
    <s v="Future Tech"/>
    <x v="3"/>
    <x v="2"/>
    <x v="7"/>
    <s v="Electronics"/>
    <n v="4"/>
    <n v="28000"/>
    <n v="1800"/>
    <s v="Card"/>
    <s v="Paid"/>
    <n v="23000"/>
    <n v="112000"/>
    <x v="62"/>
    <n v="92000"/>
    <n v="18200"/>
    <n v="16.515426497277677"/>
  </r>
  <r>
    <d v="2026-05-17T00:00:00"/>
    <x v="1"/>
    <s v="INV0084"/>
    <s v="CUST024"/>
    <s v="Classic Traders"/>
    <x v="0"/>
    <x v="3"/>
    <x v="5"/>
    <s v="Accessories"/>
    <n v="20"/>
    <n v="2500"/>
    <n v="1000"/>
    <s v="UPI"/>
    <s v="Pending"/>
    <n v="1500"/>
    <n v="50000"/>
    <x v="4"/>
    <n v="30000"/>
    <n v="19000"/>
    <n v="38.775510204081634"/>
  </r>
  <r>
    <d v="2026-05-18T00:00:00"/>
    <x v="1"/>
    <s v="INV0085"/>
    <s v="CUST025"/>
    <s v="Max Electronics"/>
    <x v="4"/>
    <x v="0"/>
    <x v="4"/>
    <s v="Office Equipment"/>
    <n v="5"/>
    <n v="18000"/>
    <n v="2500"/>
    <s v="Bank Transfer"/>
    <s v="Paid"/>
    <n v="14000"/>
    <n v="90000"/>
    <x v="36"/>
    <n v="70000"/>
    <n v="17500"/>
    <n v="20"/>
  </r>
  <r>
    <d v="2026-05-18T00:00:00"/>
    <x v="1"/>
    <s v="INV0086"/>
    <s v="CUST026"/>
    <s v="City Mart"/>
    <x v="1"/>
    <x v="1"/>
    <x v="1"/>
    <s v="Electronics"/>
    <n v="6"/>
    <n v="12000"/>
    <n v="1200"/>
    <s v="Cash"/>
    <s v="Paid"/>
    <n v="9500"/>
    <n v="72000"/>
    <x v="63"/>
    <n v="57000"/>
    <n v="13800"/>
    <n v="19.491525423728813"/>
  </r>
  <r>
    <d v="2026-05-19T00:00:00"/>
    <x v="1"/>
    <s v="INV0087"/>
    <s v="CUST027"/>
    <s v="Bright Solutions"/>
    <x v="2"/>
    <x v="2"/>
    <x v="0"/>
    <s v="Electronics"/>
    <n v="2"/>
    <n v="50000"/>
    <n v="2000"/>
    <s v="Card"/>
    <s v="Partial"/>
    <n v="42000"/>
    <n v="100000"/>
    <x v="0"/>
    <n v="84000"/>
    <n v="14000"/>
    <n v="14.285714285714285"/>
  </r>
  <r>
    <d v="2026-05-19T00:00:00"/>
    <x v="1"/>
    <s v="INV0088"/>
    <s v="CUST028"/>
    <s v="National Office"/>
    <x v="3"/>
    <x v="3"/>
    <x v="2"/>
    <s v="Accessories"/>
    <n v="22"/>
    <n v="1500"/>
    <n v="800"/>
    <s v="UPI"/>
    <s v="Paid"/>
    <n v="900"/>
    <n v="33000"/>
    <x v="64"/>
    <n v="19800"/>
    <n v="12400"/>
    <n v="38.509316770186338"/>
  </r>
  <r>
    <d v="2026-05-20T00:00:00"/>
    <x v="1"/>
    <s v="INV0089"/>
    <s v="CUST029"/>
    <s v="Galaxy Infotech"/>
    <x v="0"/>
    <x v="0"/>
    <x v="3"/>
    <s v="Accessories"/>
    <n v="45"/>
    <n v="800"/>
    <n v="800"/>
    <s v="Bank Transfer"/>
    <s v="Pending"/>
    <n v="500"/>
    <n v="36000"/>
    <x v="65"/>
    <n v="22500"/>
    <n v="12700"/>
    <n v="36.079545454545453"/>
  </r>
  <r>
    <d v="2026-05-20T00:00:00"/>
    <x v="1"/>
    <s v="INV0090"/>
    <s v="CUST030"/>
    <s v="Omkar Traders"/>
    <x v="4"/>
    <x v="1"/>
    <x v="6"/>
    <s v="Electronics"/>
    <n v="5"/>
    <n v="22000"/>
    <n v="2000"/>
    <s v="Card"/>
    <s v="Paid"/>
    <n v="17500"/>
    <n v="110000"/>
    <x v="46"/>
    <n v="87500"/>
    <n v="20500"/>
    <n v="18.981481481481481"/>
  </r>
  <r>
    <d v="2026-05-21T00:00:00"/>
    <x v="1"/>
    <s v="INV0091"/>
    <s v="CUST031"/>
    <s v="Sunrise Stores"/>
    <x v="1"/>
    <x v="2"/>
    <x v="7"/>
    <s v="Electronics"/>
    <n v="3"/>
    <n v="28000"/>
    <n v="1500"/>
    <s v="UPI"/>
    <s v="Paid"/>
    <n v="23000"/>
    <n v="84000"/>
    <x v="35"/>
    <n v="69000"/>
    <n v="13500"/>
    <n v="16.363636363636363"/>
  </r>
  <r>
    <d v="2026-05-21T00:00:00"/>
    <x v="1"/>
    <s v="INV0092"/>
    <s v="CUST032"/>
    <s v="Prime Computers"/>
    <x v="2"/>
    <x v="3"/>
    <x v="4"/>
    <s v="Office Equipment"/>
    <n v="4"/>
    <n v="18000"/>
    <n v="2000"/>
    <s v="Cash"/>
    <s v="Partial"/>
    <n v="14000"/>
    <n v="72000"/>
    <x v="19"/>
    <n v="56000"/>
    <n v="14000"/>
    <n v="20"/>
  </r>
  <r>
    <d v="2026-05-22T00:00:00"/>
    <x v="1"/>
    <s v="INV0093"/>
    <s v="CUST033"/>
    <s v="Tech Point"/>
    <x v="3"/>
    <x v="0"/>
    <x v="5"/>
    <s v="Accessories"/>
    <n v="12"/>
    <n v="2500"/>
    <n v="600"/>
    <s v="Bank Transfer"/>
    <s v="Paid"/>
    <n v="1500"/>
    <n v="30000"/>
    <x v="66"/>
    <n v="18000"/>
    <n v="11400"/>
    <n v="38.775510204081634"/>
  </r>
  <r>
    <d v="2026-05-22T00:00:00"/>
    <x v="1"/>
    <s v="INV0094"/>
    <s v="CUST034"/>
    <s v="Modern Traders"/>
    <x v="0"/>
    <x v="1"/>
    <x v="1"/>
    <s v="Electronics"/>
    <n v="9"/>
    <n v="12000"/>
    <n v="2000"/>
    <s v="Card"/>
    <s v="Pending"/>
    <n v="9500"/>
    <n v="108000"/>
    <x v="67"/>
    <n v="85500"/>
    <n v="20500"/>
    <n v="19.339622641509436"/>
  </r>
  <r>
    <d v="2026-05-23T00:00:00"/>
    <x v="1"/>
    <s v="INV0095"/>
    <s v="CUST035"/>
    <s v="Elite Retail"/>
    <x v="4"/>
    <x v="2"/>
    <x v="0"/>
    <s v="Electronics"/>
    <n v="2"/>
    <n v="50000"/>
    <n v="3000"/>
    <s v="UPI"/>
    <s v="Paid"/>
    <n v="42000"/>
    <n v="100000"/>
    <x v="17"/>
    <n v="84000"/>
    <n v="13000"/>
    <n v="13.402061855670103"/>
  </r>
  <r>
    <d v="2026-05-23T00:00:00"/>
    <x v="1"/>
    <s v="INV0096"/>
    <s v="CUST036"/>
    <s v="Shree Enterprises"/>
    <x v="1"/>
    <x v="3"/>
    <x v="2"/>
    <s v="Accessories"/>
    <n v="28"/>
    <n v="1500"/>
    <n v="1100"/>
    <s v="Cash"/>
    <s v="Paid"/>
    <n v="900"/>
    <n v="42000"/>
    <x v="68"/>
    <n v="25200"/>
    <n v="15700"/>
    <n v="38.386308068459655"/>
  </r>
  <r>
    <d v="2026-05-24T00:00:00"/>
    <x v="1"/>
    <s v="INV0097"/>
    <s v="CUST037"/>
    <s v="Global Solutions"/>
    <x v="2"/>
    <x v="0"/>
    <x v="3"/>
    <s v="Accessories"/>
    <n v="50"/>
    <n v="800"/>
    <n v="1000"/>
    <s v="Card"/>
    <s v="Partial"/>
    <n v="500"/>
    <n v="40000"/>
    <x v="40"/>
    <n v="25000"/>
    <n v="14000"/>
    <n v="35.897435897435898"/>
  </r>
  <r>
    <d v="2026-05-24T00:00:00"/>
    <x v="1"/>
    <s v="INV0098"/>
    <s v="CUST038"/>
    <s v="Metro Computers"/>
    <x v="3"/>
    <x v="1"/>
    <x v="6"/>
    <s v="Electronics"/>
    <n v="4"/>
    <n v="22000"/>
    <n v="1500"/>
    <s v="UPI"/>
    <s v="Paid"/>
    <n v="17500"/>
    <n v="88000"/>
    <x v="28"/>
    <n v="70000"/>
    <n v="16500"/>
    <n v="19.075144508670519"/>
  </r>
  <r>
    <d v="2026-05-25T00:00:00"/>
    <x v="1"/>
    <s v="INV0099"/>
    <s v="CUST039"/>
    <s v="Digital World"/>
    <x v="0"/>
    <x v="2"/>
    <x v="7"/>
    <s v="Electronics"/>
    <n v="6"/>
    <n v="28000"/>
    <n v="2500"/>
    <s v="Bank Transfer"/>
    <s v="Paid"/>
    <n v="23000"/>
    <n v="168000"/>
    <x v="47"/>
    <n v="138000"/>
    <n v="27500"/>
    <n v="16.61631419939577"/>
  </r>
  <r>
    <d v="2026-05-25T00:00:00"/>
    <x v="1"/>
    <s v="INV0100"/>
    <s v="CUST040"/>
    <s v="Smart Mart"/>
    <x v="4"/>
    <x v="3"/>
    <x v="4"/>
    <s v="Office Equipment"/>
    <n v="3"/>
    <n v="18000"/>
    <n v="1200"/>
    <s v="Card"/>
    <s v="Pending"/>
    <n v="14000"/>
    <n v="54000"/>
    <x v="45"/>
    <n v="42000"/>
    <n v="10800"/>
    <n v="20.454545454545457"/>
  </r>
  <r>
    <d v="2026-06-01T00:00:00"/>
    <x v="2"/>
    <s v="INV0101"/>
    <s v="CUST041"/>
    <s v="Future Enterprises"/>
    <x v="1"/>
    <x v="0"/>
    <x v="0"/>
    <s v="Electronics"/>
    <n v="4"/>
    <n v="50000"/>
    <n v="4000"/>
    <s v="UPI"/>
    <s v="Paid"/>
    <n v="42000"/>
    <n v="200000"/>
    <x v="69"/>
    <n v="168000"/>
    <n v="28000"/>
    <n v="14.285714285714285"/>
  </r>
  <r>
    <d v="2026-06-01T00:00:00"/>
    <x v="2"/>
    <s v="INV0102"/>
    <s v="CUST042"/>
    <s v="City Solutions"/>
    <x v="2"/>
    <x v="1"/>
    <x v="1"/>
    <s v="Electronics"/>
    <n v="6"/>
    <n v="12000"/>
    <n v="1200"/>
    <s v="Bank Transfer"/>
    <s v="Paid"/>
    <n v="9500"/>
    <n v="72000"/>
    <x v="63"/>
    <n v="57000"/>
    <n v="13800"/>
    <n v="19.491525423728813"/>
  </r>
  <r>
    <d v="2026-06-02T00:00:00"/>
    <x v="2"/>
    <s v="INV0103"/>
    <s v="CUST043"/>
    <s v="Max Traders"/>
    <x v="3"/>
    <x v="2"/>
    <x v="2"/>
    <s v="Accessories"/>
    <n v="18"/>
    <n v="1500"/>
    <n v="700"/>
    <s v="Card"/>
    <s v="Partial"/>
    <n v="900"/>
    <n v="27000"/>
    <x v="32"/>
    <n v="16200"/>
    <n v="10100"/>
    <n v="38.403041825095059"/>
  </r>
  <r>
    <d v="2026-06-02T00:00:00"/>
    <x v="2"/>
    <s v="INV0104"/>
    <s v="CUST044"/>
    <s v="National Mart"/>
    <x v="0"/>
    <x v="3"/>
    <x v="3"/>
    <s v="Accessories"/>
    <n v="32"/>
    <n v="800"/>
    <n v="600"/>
    <s v="Cash"/>
    <s v="Paid"/>
    <n v="500"/>
    <n v="25600"/>
    <x v="70"/>
    <n v="16000"/>
    <n v="9000"/>
    <n v="36"/>
  </r>
  <r>
    <d v="2026-06-03T00:00:00"/>
    <x v="2"/>
    <s v="INV0105"/>
    <s v="CUST045"/>
    <s v="Star Computers"/>
    <x v="4"/>
    <x v="0"/>
    <x v="4"/>
    <s v="Office Equipment"/>
    <n v="4"/>
    <n v="18000"/>
    <n v="1600"/>
    <s v="UPI"/>
    <s v="Pending"/>
    <n v="14000"/>
    <n v="72000"/>
    <x v="71"/>
    <n v="56000"/>
    <n v="14400"/>
    <n v="20.454545454545457"/>
  </r>
  <r>
    <d v="2026-06-03T00:00:00"/>
    <x v="2"/>
    <s v="INV0106"/>
    <s v="CUST046"/>
    <s v="Green Valley"/>
    <x v="1"/>
    <x v="1"/>
    <x v="6"/>
    <s v="Electronics"/>
    <n v="5"/>
    <n v="22000"/>
    <n v="2000"/>
    <s v="Card"/>
    <s v="Paid"/>
    <n v="17500"/>
    <n v="110000"/>
    <x v="46"/>
    <n v="87500"/>
    <n v="20500"/>
    <n v="18.981481481481481"/>
  </r>
  <r>
    <d v="2026-06-04T00:00:00"/>
    <x v="2"/>
    <s v="INV0107"/>
    <s v="CUST047"/>
    <s v="Om Solutions"/>
    <x v="2"/>
    <x v="2"/>
    <x v="5"/>
    <s v="Accessories"/>
    <n v="16"/>
    <n v="2500"/>
    <n v="700"/>
    <s v="Bank Transfer"/>
    <s v="Partial"/>
    <n v="1500"/>
    <n v="40000"/>
    <x v="72"/>
    <n v="24000"/>
    <n v="15300"/>
    <n v="38.931297709923662"/>
  </r>
  <r>
    <d v="2026-06-04T00:00:00"/>
    <x v="2"/>
    <s v="INV0108"/>
    <s v="CUST048"/>
    <s v="Prime Retail"/>
    <x v="3"/>
    <x v="3"/>
    <x v="7"/>
    <s v="Electronics"/>
    <n v="8"/>
    <n v="28000"/>
    <n v="3500"/>
    <s v="UPI"/>
    <s v="Paid"/>
    <n v="23000"/>
    <n v="224000"/>
    <x v="73"/>
    <n v="184000"/>
    <n v="36500"/>
    <n v="16.553287981859409"/>
  </r>
  <r>
    <d v="2026-06-05T00:00:00"/>
    <x v="2"/>
    <s v="INV0109"/>
    <s v="CUST049"/>
    <s v="Tech World"/>
    <x v="0"/>
    <x v="0"/>
    <x v="0"/>
    <s v="Electronics"/>
    <n v="2"/>
    <n v="50000"/>
    <n v="2000"/>
    <s v="Card"/>
    <s v="Paid"/>
    <n v="42000"/>
    <n v="100000"/>
    <x v="0"/>
    <n v="84000"/>
    <n v="14000"/>
    <n v="14.285714285714285"/>
  </r>
  <r>
    <d v="2026-06-05T00:00:00"/>
    <x v="2"/>
    <s v="INV0110"/>
    <s v="CUST050"/>
    <s v="Elite Enterprises"/>
    <x v="4"/>
    <x v="1"/>
    <x v="1"/>
    <s v="Electronics"/>
    <n v="10"/>
    <n v="12000"/>
    <n v="2000"/>
    <s v="Cash"/>
    <s v="Pending"/>
    <n v="9500"/>
    <n v="120000"/>
    <x v="74"/>
    <n v="95000"/>
    <n v="23000"/>
    <n v="19.491525423728813"/>
  </r>
  <r>
    <d v="2026-06-06T00:00:00"/>
    <x v="2"/>
    <s v="INV0111"/>
    <s v="CUST051"/>
    <s v="Shree Logistics"/>
    <x v="1"/>
    <x v="2"/>
    <x v="4"/>
    <s v="Office Equipment"/>
    <n v="3"/>
    <n v="18000"/>
    <n v="1000"/>
    <s v="Bank Transfer"/>
    <s v="Paid"/>
    <n v="14000"/>
    <n v="54000"/>
    <x v="75"/>
    <n v="42000"/>
    <n v="11000"/>
    <n v="20.754716981132077"/>
  </r>
  <r>
    <d v="2026-06-06T00:00:00"/>
    <x v="2"/>
    <s v="INV0112"/>
    <s v="CUST052"/>
    <s v="Vertex Solutions"/>
    <x v="2"/>
    <x v="3"/>
    <x v="2"/>
    <s v="Accessories"/>
    <n v="24"/>
    <n v="1500"/>
    <n v="900"/>
    <s v="UPI"/>
    <s v="Partial"/>
    <n v="900"/>
    <n v="36000"/>
    <x v="55"/>
    <n v="21600"/>
    <n v="13500"/>
    <n v="38.461538461538467"/>
  </r>
  <r>
    <d v="2026-06-07T00:00:00"/>
    <x v="2"/>
    <s v="INV0113"/>
    <s v="CUST053"/>
    <s v="Blue Star Traders"/>
    <x v="3"/>
    <x v="0"/>
    <x v="3"/>
    <s v="Accessories"/>
    <n v="45"/>
    <n v="800"/>
    <n v="900"/>
    <s v="Card"/>
    <s v="Paid"/>
    <n v="500"/>
    <n v="36000"/>
    <x v="55"/>
    <n v="22500"/>
    <n v="12600"/>
    <n v="35.897435897435898"/>
  </r>
  <r>
    <d v="2026-06-07T00:00:00"/>
    <x v="2"/>
    <s v="INV0114"/>
    <s v="CUST054"/>
    <s v="Sunrise Technologies"/>
    <x v="0"/>
    <x v="1"/>
    <x v="6"/>
    <s v="Electronics"/>
    <n v="6"/>
    <n v="22000"/>
    <n v="2500"/>
    <s v="Cash"/>
    <s v="Paid"/>
    <n v="17500"/>
    <n v="132000"/>
    <x v="76"/>
    <n v="105000"/>
    <n v="24500"/>
    <n v="18.918918918918919"/>
  </r>
  <r>
    <d v="2026-06-08T00:00:00"/>
    <x v="2"/>
    <s v="INV0115"/>
    <s v="CUST055"/>
    <s v="Global Enterprises"/>
    <x v="4"/>
    <x v="2"/>
    <x v="7"/>
    <s v="Electronics"/>
    <n v="5"/>
    <n v="28000"/>
    <n v="2000"/>
    <s v="Bank Transfer"/>
    <s v="Pending"/>
    <n v="23000"/>
    <n v="140000"/>
    <x v="77"/>
    <n v="115000"/>
    <n v="23000"/>
    <n v="16.666666666666664"/>
  </r>
  <r>
    <d v="2026-06-08T00:00:00"/>
    <x v="2"/>
    <s v="INV0116"/>
    <s v="CUST056"/>
    <s v="Metro Infotech"/>
    <x v="1"/>
    <x v="3"/>
    <x v="5"/>
    <s v="Accessories"/>
    <n v="20"/>
    <n v="2500"/>
    <n v="1000"/>
    <s v="UPI"/>
    <s v="Paid"/>
    <n v="1500"/>
    <n v="50000"/>
    <x v="4"/>
    <n v="30000"/>
    <n v="19000"/>
    <n v="38.775510204081634"/>
  </r>
  <r>
    <d v="2026-06-09T00:00:00"/>
    <x v="2"/>
    <s v="INV0117"/>
    <s v="CUST057"/>
    <s v="Prime Retail"/>
    <x v="2"/>
    <x v="0"/>
    <x v="0"/>
    <s v="Electronics"/>
    <n v="3"/>
    <n v="50000"/>
    <n v="3000"/>
    <s v="Card"/>
    <s v="Partial"/>
    <n v="42000"/>
    <n v="150000"/>
    <x v="48"/>
    <n v="126000"/>
    <n v="21000"/>
    <n v="14.285714285714285"/>
  </r>
  <r>
    <d v="2026-06-09T00:00:00"/>
    <x v="2"/>
    <s v="INV0118"/>
    <s v="CUST058"/>
    <s v="Smart Office"/>
    <x v="3"/>
    <x v="1"/>
    <x v="1"/>
    <s v="Electronics"/>
    <n v="7"/>
    <n v="12000"/>
    <n v="1400"/>
    <s v="Bank Transfer"/>
    <s v="Paid"/>
    <n v="9500"/>
    <n v="84000"/>
    <x v="78"/>
    <n v="66500"/>
    <n v="16100"/>
    <n v="19.491525423728813"/>
  </r>
  <r>
    <d v="2026-06-10T00:00:00"/>
    <x v="2"/>
    <s v="INV0119"/>
    <s v="CUST059"/>
    <s v="City Mart"/>
    <x v="0"/>
    <x v="2"/>
    <x v="4"/>
    <s v="Office Equipment"/>
    <n v="5"/>
    <n v="18000"/>
    <n v="2200"/>
    <s v="UPI"/>
    <s v="Paid"/>
    <n v="14000"/>
    <n v="90000"/>
    <x v="79"/>
    <n v="70000"/>
    <n v="17800"/>
    <n v="20.273348519362187"/>
  </r>
  <r>
    <d v="2026-06-10T00:00:00"/>
    <x v="2"/>
    <s v="INV0120"/>
    <s v="CUST060"/>
    <s v="Elite Traders"/>
    <x v="4"/>
    <x v="3"/>
    <x v="2"/>
    <s v="Accessories"/>
    <n v="30"/>
    <n v="1500"/>
    <n v="1200"/>
    <s v="Cash"/>
    <s v="Pending"/>
    <n v="900"/>
    <n v="45000"/>
    <x v="59"/>
    <n v="27000"/>
    <n v="16800"/>
    <n v="38.356164383561641"/>
  </r>
  <r>
    <d v="2026-06-11T00:00:00"/>
    <x v="2"/>
    <s v="INV0121"/>
    <s v="CUST001"/>
    <s v="Reliance Retail"/>
    <x v="1"/>
    <x v="0"/>
    <x v="3"/>
    <s v="Accessories"/>
    <n v="55"/>
    <n v="800"/>
    <n v="1100"/>
    <s v="Card"/>
    <s v="Paid"/>
    <n v="500"/>
    <n v="44000"/>
    <x v="80"/>
    <n v="27500"/>
    <n v="15400"/>
    <n v="35.897435897435898"/>
  </r>
  <r>
    <d v="2026-06-11T00:00:00"/>
    <x v="2"/>
    <s v="INV0122"/>
    <s v="CUST002"/>
    <s v="Shree Enterprises"/>
    <x v="2"/>
    <x v="1"/>
    <x v="6"/>
    <s v="Electronics"/>
    <n v="4"/>
    <n v="22000"/>
    <n v="1400"/>
    <s v="UPI"/>
    <s v="Partial"/>
    <n v="17500"/>
    <n v="88000"/>
    <x v="81"/>
    <n v="70000"/>
    <n v="16600"/>
    <n v="19.168591224018474"/>
  </r>
  <r>
    <d v="2026-06-12T00:00:00"/>
    <x v="2"/>
    <s v="INV0123"/>
    <s v="CUST003"/>
    <s v="Global Traders"/>
    <x v="3"/>
    <x v="2"/>
    <x v="7"/>
    <s v="Electronics"/>
    <n v="6"/>
    <n v="28000"/>
    <n v="2500"/>
    <s v="Bank Transfer"/>
    <s v="Paid"/>
    <n v="23000"/>
    <n v="168000"/>
    <x v="47"/>
    <n v="138000"/>
    <n v="27500"/>
    <n v="16.61631419939577"/>
  </r>
  <r>
    <d v="2026-06-12T00:00:00"/>
    <x v="2"/>
    <s v="INV0124"/>
    <s v="CUST004"/>
    <s v="Metro Solutions"/>
    <x v="0"/>
    <x v="3"/>
    <x v="0"/>
    <s v="Electronics"/>
    <n v="2"/>
    <n v="50000"/>
    <n v="2000"/>
    <s v="Card"/>
    <s v="Pending"/>
    <n v="42000"/>
    <n v="100000"/>
    <x v="0"/>
    <n v="84000"/>
    <n v="14000"/>
    <n v="14.285714285714285"/>
  </r>
  <r>
    <d v="2026-06-13T00:00:00"/>
    <x v="2"/>
    <s v="INV0125"/>
    <s v="CUST005"/>
    <s v="Sunrise Infotech"/>
    <x v="4"/>
    <x v="0"/>
    <x v="1"/>
    <s v="Electronics"/>
    <n v="8"/>
    <n v="12000"/>
    <n v="1600"/>
    <s v="UPI"/>
    <s v="Paid"/>
    <n v="9500"/>
    <n v="96000"/>
    <x v="82"/>
    <n v="76000"/>
    <n v="18400"/>
    <n v="19.491525423728813"/>
  </r>
  <r>
    <d v="2026-06-13T00:00:00"/>
    <x v="2"/>
    <s v="INV0126"/>
    <s v="CUST006"/>
    <s v="Prime Mart"/>
    <x v="1"/>
    <x v="1"/>
    <x v="4"/>
    <s v="Office Equipment"/>
    <n v="4"/>
    <n v="18000"/>
    <n v="1800"/>
    <s v="Cash"/>
    <s v="Paid"/>
    <n v="14000"/>
    <n v="72000"/>
    <x v="51"/>
    <n v="56000"/>
    <n v="14200"/>
    <n v="20.227920227920229"/>
  </r>
  <r>
    <d v="2026-06-14T00:00:00"/>
    <x v="2"/>
    <s v="INV0127"/>
    <s v="CUST007"/>
    <s v="Tech World"/>
    <x v="2"/>
    <x v="2"/>
    <x v="5"/>
    <s v="Accessories"/>
    <n v="14"/>
    <n v="2500"/>
    <n v="600"/>
    <s v="Bank Transfer"/>
    <s v="Partial"/>
    <n v="1500"/>
    <n v="35000"/>
    <x v="83"/>
    <n v="21000"/>
    <n v="13400"/>
    <n v="38.953488372093027"/>
  </r>
  <r>
    <d v="2026-06-14T00:00:00"/>
    <x v="2"/>
    <s v="INV0128"/>
    <s v="CUST008"/>
    <s v="Modern Office"/>
    <x v="3"/>
    <x v="3"/>
    <x v="2"/>
    <s v="Accessories"/>
    <n v="35"/>
    <n v="1500"/>
    <n v="1200"/>
    <s v="Card"/>
    <s v="Paid"/>
    <n v="900"/>
    <n v="52500"/>
    <x v="84"/>
    <n v="31500"/>
    <n v="19800"/>
    <n v="38.596491228070171"/>
  </r>
  <r>
    <d v="2026-06-15T00:00:00"/>
    <x v="2"/>
    <s v="INV0129"/>
    <s v="CUST009"/>
    <s v="Galaxy Stores"/>
    <x v="0"/>
    <x v="0"/>
    <x v="3"/>
    <s v="Accessories"/>
    <n v="60"/>
    <n v="800"/>
    <n v="1200"/>
    <s v="UPI"/>
    <s v="Paid"/>
    <n v="500"/>
    <n v="48000"/>
    <x v="85"/>
    <n v="30000"/>
    <n v="16800"/>
    <n v="35.897435897435898"/>
  </r>
  <r>
    <d v="2026-06-15T00:00:00"/>
    <x v="2"/>
    <s v="INV0130"/>
    <s v="CUST010"/>
    <s v="Om Enterprises"/>
    <x v="4"/>
    <x v="1"/>
    <x v="7"/>
    <s v="Electronics"/>
    <n v="5"/>
    <n v="28000"/>
    <n v="2000"/>
    <s v="Bank Transfer"/>
    <s v="Pending"/>
    <n v="23000"/>
    <n v="140000"/>
    <x v="77"/>
    <n v="115000"/>
    <n v="23000"/>
    <n v="16.666666666666664"/>
  </r>
  <r>
    <d v="2026-06-15T00:00:00"/>
    <x v="2"/>
    <s v="INV0131"/>
    <s v="CUST011"/>
    <s v="City Computers"/>
    <x v="1"/>
    <x v="2"/>
    <x v="0"/>
    <s v="Electronics"/>
    <n v="3"/>
    <n v="50000"/>
    <n v="3500"/>
    <s v="Card"/>
    <s v="Paid"/>
    <n v="42000"/>
    <n v="150000"/>
    <x v="60"/>
    <n v="126000"/>
    <n v="20500"/>
    <n v="13.993174061433447"/>
  </r>
  <r>
    <d v="2026-06-16T00:00:00"/>
    <x v="2"/>
    <s v="INV0132"/>
    <s v="CUST012"/>
    <s v="National Traders"/>
    <x v="2"/>
    <x v="3"/>
    <x v="6"/>
    <s v="Electronics"/>
    <n v="7"/>
    <n v="22000"/>
    <n v="2800"/>
    <s v="Cash"/>
    <s v="Partial"/>
    <n v="17500"/>
    <n v="154000"/>
    <x v="86"/>
    <n v="122500"/>
    <n v="28700"/>
    <n v="18.981481481481481"/>
  </r>
  <r>
    <d v="2026-06-16T00:00:00"/>
    <x v="2"/>
    <s v="INV0133"/>
    <s v="CUST013"/>
    <s v="Star Electronics"/>
    <x v="3"/>
    <x v="0"/>
    <x v="4"/>
    <s v="Office Equipment"/>
    <n v="3"/>
    <n v="18000"/>
    <n v="1000"/>
    <s v="UPI"/>
    <s v="Paid"/>
    <n v="14000"/>
    <n v="54000"/>
    <x v="75"/>
    <n v="42000"/>
    <n v="11000"/>
    <n v="20.754716981132077"/>
  </r>
  <r>
    <d v="2026-06-17T00:00:00"/>
    <x v="2"/>
    <s v="INV0134"/>
    <s v="CUST014"/>
    <s v="Elite Solutions"/>
    <x v="0"/>
    <x v="1"/>
    <x v="1"/>
    <s v="Electronics"/>
    <n v="9"/>
    <n v="12000"/>
    <n v="1800"/>
    <s v="Bank Transfer"/>
    <s v="Paid"/>
    <n v="9500"/>
    <n v="108000"/>
    <x v="87"/>
    <n v="85500"/>
    <n v="20700"/>
    <n v="19.491525423728813"/>
  </r>
  <r>
    <d v="2026-06-17T00:00:00"/>
    <x v="2"/>
    <s v="INV0135"/>
    <s v="CUST015"/>
    <s v="Shivam Enterprises"/>
    <x v="4"/>
    <x v="2"/>
    <x v="2"/>
    <s v="Accessories"/>
    <n v="20"/>
    <n v="1500"/>
    <n v="700"/>
    <s v="Card"/>
    <s v="Pending"/>
    <n v="900"/>
    <n v="30000"/>
    <x v="50"/>
    <n v="18000"/>
    <n v="11300"/>
    <n v="38.56655290102389"/>
  </r>
  <r>
    <d v="2026-06-18T00:00:00"/>
    <x v="2"/>
    <s v="INV0136"/>
    <s v="CUST016"/>
    <s v="Digital Hub"/>
    <x v="1"/>
    <x v="3"/>
    <x v="3"/>
    <s v="Accessories"/>
    <n v="40"/>
    <n v="800"/>
    <n v="800"/>
    <s v="UPI"/>
    <s v="Paid"/>
    <n v="500"/>
    <n v="32000"/>
    <x v="88"/>
    <n v="20000"/>
    <n v="11200"/>
    <n v="35.897435897435898"/>
  </r>
  <r>
    <d v="2026-06-18T00:00:00"/>
    <x v="2"/>
    <s v="INV0137"/>
    <s v="CUST017"/>
    <s v="Green Valley Stores"/>
    <x v="2"/>
    <x v="0"/>
    <x v="6"/>
    <s v="Electronics"/>
    <n v="5"/>
    <n v="22000"/>
    <n v="2000"/>
    <s v="Cash"/>
    <s v="Partial"/>
    <n v="17500"/>
    <n v="110000"/>
    <x v="46"/>
    <n v="87500"/>
    <n v="20500"/>
    <n v="18.981481481481481"/>
  </r>
  <r>
    <d v="2026-06-19T00:00:00"/>
    <x v="2"/>
    <s v="INV0138"/>
    <s v="CUST018"/>
    <s v="Metro Retail"/>
    <x v="3"/>
    <x v="1"/>
    <x v="7"/>
    <s v="Electronics"/>
    <n v="4"/>
    <n v="28000"/>
    <n v="1800"/>
    <s v="Card"/>
    <s v="Paid"/>
    <n v="23000"/>
    <n v="112000"/>
    <x v="62"/>
    <n v="92000"/>
    <n v="18200"/>
    <n v="16.515426497277677"/>
  </r>
  <r>
    <d v="2026-06-19T00:00:00"/>
    <x v="2"/>
    <s v="INV0139"/>
    <s v="CUST019"/>
    <s v="Prime Enterprises"/>
    <x v="0"/>
    <x v="2"/>
    <x v="5"/>
    <s v="Accessories"/>
    <n v="25"/>
    <n v="2500"/>
    <n v="1000"/>
    <s v="Bank Transfer"/>
    <s v="Pending"/>
    <n v="1500"/>
    <n v="62500"/>
    <x v="89"/>
    <n v="37500"/>
    <n v="24000"/>
    <n v="39.024390243902438"/>
  </r>
  <r>
    <d v="2026-06-20T00:00:00"/>
    <x v="2"/>
    <s v="INV0140"/>
    <s v="CUST020"/>
    <s v="Techno Mart"/>
    <x v="4"/>
    <x v="3"/>
    <x v="0"/>
    <s v="Electronics"/>
    <n v="2"/>
    <n v="50000"/>
    <n v="2500"/>
    <s v="UPI"/>
    <s v="Paid"/>
    <n v="42000"/>
    <n v="100000"/>
    <x v="37"/>
    <n v="84000"/>
    <n v="13500"/>
    <n v="13.846153846153847"/>
  </r>
  <r>
    <d v="2026-06-20T00:00:00"/>
    <x v="2"/>
    <s v="INV0141"/>
    <s v="CUST021"/>
    <s v="Smart Solutions"/>
    <x v="1"/>
    <x v="0"/>
    <x v="1"/>
    <s v="Electronics"/>
    <n v="5"/>
    <n v="12000"/>
    <n v="900"/>
    <s v="Card"/>
    <s v="Paid"/>
    <n v="9500"/>
    <n v="60000"/>
    <x v="90"/>
    <n v="47500"/>
    <n v="11600"/>
    <n v="19.627749576988155"/>
  </r>
  <r>
    <d v="2026-06-21T00:00:00"/>
    <x v="2"/>
    <s v="INV0142"/>
    <s v="CUST022"/>
    <s v="Shree Computers"/>
    <x v="2"/>
    <x v="1"/>
    <x v="4"/>
    <s v="Office Equipment"/>
    <n v="4"/>
    <n v="18000"/>
    <n v="1400"/>
    <s v="Cash"/>
    <s v="Partial"/>
    <n v="14000"/>
    <n v="72000"/>
    <x v="91"/>
    <n v="56000"/>
    <n v="14600"/>
    <n v="20.679886685552407"/>
  </r>
  <r>
    <d v="2026-06-21T00:00:00"/>
    <x v="2"/>
    <s v="INV0143"/>
    <s v="CUST023"/>
    <s v="Future Tech"/>
    <x v="3"/>
    <x v="2"/>
    <x v="2"/>
    <s v="Accessories"/>
    <n v="30"/>
    <n v="1500"/>
    <n v="1000"/>
    <s v="UPI"/>
    <s v="Paid"/>
    <n v="900"/>
    <n v="45000"/>
    <x v="92"/>
    <n v="27000"/>
    <n v="17000"/>
    <n v="38.636363636363633"/>
  </r>
  <r>
    <d v="2026-06-22T00:00:00"/>
    <x v="2"/>
    <s v="INV0144"/>
    <s v="CUST024"/>
    <s v="Classic Traders"/>
    <x v="0"/>
    <x v="3"/>
    <x v="3"/>
    <s v="Accessories"/>
    <n v="48"/>
    <n v="800"/>
    <n v="900"/>
    <s v="Bank Transfer"/>
    <s v="Pending"/>
    <n v="500"/>
    <n v="38400"/>
    <x v="93"/>
    <n v="24000"/>
    <n v="13500"/>
    <n v="36"/>
  </r>
  <r>
    <d v="2026-06-22T00:00:00"/>
    <x v="2"/>
    <s v="INV0145"/>
    <s v="CUST025"/>
    <s v="Max Electronics"/>
    <x v="4"/>
    <x v="0"/>
    <x v="7"/>
    <s v="Electronics"/>
    <n v="6"/>
    <n v="28000"/>
    <n v="2800"/>
    <s v="Card"/>
    <s v="Paid"/>
    <n v="23000"/>
    <n v="168000"/>
    <x v="94"/>
    <n v="138000"/>
    <n v="27200"/>
    <n v="16.464891041162229"/>
  </r>
  <r>
    <d v="2026-06-23T00:00:00"/>
    <x v="2"/>
    <s v="INV0146"/>
    <s v="CUST026"/>
    <s v="City Mart"/>
    <x v="1"/>
    <x v="1"/>
    <x v="6"/>
    <s v="Electronics"/>
    <n v="4"/>
    <n v="22000"/>
    <n v="1500"/>
    <s v="UPI"/>
    <s v="Partial"/>
    <n v="17500"/>
    <n v="88000"/>
    <x v="28"/>
    <n v="70000"/>
    <n v="16500"/>
    <n v="19.075144508670519"/>
  </r>
  <r>
    <d v="2026-06-23T00:00:00"/>
    <x v="2"/>
    <s v="INV0147"/>
    <s v="CUST027"/>
    <s v="Bright Solutions"/>
    <x v="2"/>
    <x v="2"/>
    <x v="0"/>
    <s v="Electronics"/>
    <n v="3"/>
    <n v="50000"/>
    <n v="3000"/>
    <s v="Cash"/>
    <s v="Paid"/>
    <n v="42000"/>
    <n v="150000"/>
    <x v="48"/>
    <n v="126000"/>
    <n v="21000"/>
    <n v="14.285714285714285"/>
  </r>
  <r>
    <d v="2026-06-24T00:00:00"/>
    <x v="2"/>
    <s v="INV0148"/>
    <s v="CUST028"/>
    <s v="National Office"/>
    <x v="3"/>
    <x v="3"/>
    <x v="1"/>
    <s v="Electronics"/>
    <n v="7"/>
    <n v="12000"/>
    <n v="1400"/>
    <s v="Bank Transfer"/>
    <s v="Paid"/>
    <n v="9500"/>
    <n v="84000"/>
    <x v="78"/>
    <n v="66500"/>
    <n v="16100"/>
    <n v="19.491525423728813"/>
  </r>
  <r>
    <d v="2026-06-24T00:00:00"/>
    <x v="2"/>
    <s v="INV0149"/>
    <s v="CUST029"/>
    <s v="Galaxy Infotech"/>
    <x v="0"/>
    <x v="0"/>
    <x v="4"/>
    <s v="Office Equipment"/>
    <n v="5"/>
    <n v="18000"/>
    <n v="2000"/>
    <s v="Card"/>
    <s v="Pending"/>
    <n v="14000"/>
    <n v="90000"/>
    <x v="95"/>
    <n v="70000"/>
    <n v="18000"/>
    <n v="20.454545454545457"/>
  </r>
  <r>
    <d v="2026-06-25T00:00:00"/>
    <x v="2"/>
    <s v="INV0150"/>
    <s v="CUST030"/>
    <s v="Omkar Traders"/>
    <x v="4"/>
    <x v="1"/>
    <x v="5"/>
    <s v="Accessories"/>
    <n v="18"/>
    <n v="2500"/>
    <n v="800"/>
    <s v="UPI"/>
    <s v="Paid"/>
    <n v="1500"/>
    <n v="45000"/>
    <x v="96"/>
    <n v="27000"/>
    <n v="17200"/>
    <n v="38.9140271493212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24959-DB60-42AD-9847-41A0C654BC88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" firstHeaderRow="0" firstDataRow="1" firstDataCol="0"/>
  <pivotFields count="21">
    <pivotField numFmtId="15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>
      <items count="98">
        <item x="2"/>
        <item x="3"/>
        <item x="44"/>
        <item x="6"/>
        <item x="12"/>
        <item x="11"/>
        <item x="9"/>
        <item x="30"/>
        <item x="70"/>
        <item x="32"/>
        <item x="33"/>
        <item x="20"/>
        <item x="50"/>
        <item x="66"/>
        <item x="15"/>
        <item x="88"/>
        <item x="27"/>
        <item x="39"/>
        <item x="64"/>
        <item x="83"/>
        <item x="13"/>
        <item x="55"/>
        <item x="65"/>
        <item x="26"/>
        <item x="52"/>
        <item x="23"/>
        <item x="93"/>
        <item x="40"/>
        <item x="72"/>
        <item x="68"/>
        <item x="80"/>
        <item x="59"/>
        <item x="92"/>
        <item x="58"/>
        <item x="96"/>
        <item x="85"/>
        <item x="38"/>
        <item x="4"/>
        <item x="84"/>
        <item x="5"/>
        <item x="45"/>
        <item x="75"/>
        <item x="1"/>
        <item x="90"/>
        <item x="89"/>
        <item x="41"/>
        <item x="21"/>
        <item x="19"/>
        <item x="51"/>
        <item x="71"/>
        <item x="18"/>
        <item x="91"/>
        <item x="63"/>
        <item x="31"/>
        <item x="35"/>
        <item x="78"/>
        <item x="49"/>
        <item x="7"/>
        <item x="56"/>
        <item x="28"/>
        <item x="81"/>
        <item x="36"/>
        <item x="79"/>
        <item x="95"/>
        <item x="24"/>
        <item x="54"/>
        <item x="82"/>
        <item x="17"/>
        <item x="37"/>
        <item x="0"/>
        <item x="43"/>
        <item x="67"/>
        <item x="87"/>
        <item x="14"/>
        <item x="46"/>
        <item x="16"/>
        <item x="62"/>
        <item x="74"/>
        <item x="34"/>
        <item x="76"/>
        <item x="61"/>
        <item x="29"/>
        <item x="53"/>
        <item x="77"/>
        <item x="25"/>
        <item x="60"/>
        <item x="48"/>
        <item x="10"/>
        <item x="86"/>
        <item x="8"/>
        <item x="94"/>
        <item x="47"/>
        <item x="22"/>
        <item x="57"/>
        <item x="69"/>
        <item x="42"/>
        <item x="73"/>
        <item t="default"/>
      </items>
    </pivotField>
    <pivotField dataField="1" showAll="0"/>
    <pivotField dataField="1" showAll="0"/>
    <pivotField numFmtId="2" showAll="0"/>
    <pivotField dataField="1" dragToRow="0" dragToCol="0" dragToPage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Sales" fld="16" baseField="0" baseItem="0" numFmtId="164"/>
    <dataField name="Quantity Sold" fld="9" baseField="0" baseItem="0"/>
    <dataField name="No Of Orders" fld="2" subtotal="count" baseField="0" baseItem="0"/>
    <dataField name="Total Cost" fld="17" baseField="0" baseItem="0" numFmtId="164"/>
    <dataField name="Profit" fld="18" baseField="0" baseItem="0" numFmtId="164"/>
    <dataField name="Profit_%" fld="20" baseField="0" baseItem="0" numFmtId="10"/>
  </dataFields>
  <formats count="4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F70D1-BBBC-45B5-A7D5-7DFC74DE430E}" name="PivotTable2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Month">
  <location ref="J7:K10" firstHeaderRow="1" firstDataRow="1" firstDataCol="1"/>
  <pivotFields count="21">
    <pivotField numFmtId="15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" showAll="0"/>
    <pivotField dragToRow="0" dragToCol="0" dragToPage="0" showAll="0" defaultSubtota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ales" fld="1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3851F-DBD2-474F-8684-E6D2ED5FB2B9}" name="PivotTable2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Product Name">
  <location ref="G7:H15" firstHeaderRow="1" firstDataRow="1" firstDataCol="1"/>
  <pivotFields count="21">
    <pivotField numFmtId="15" showAll="0"/>
    <pivotField showAll="0"/>
    <pivotField showAll="0"/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axis="axisRow" showAll="0">
      <items count="9">
        <item x="5"/>
        <item x="2"/>
        <item x="0"/>
        <item x="7"/>
        <item x="1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" showAll="0"/>
    <pivotField dragToRow="0" dragToCol="0" dragToPage="0" showAll="0" defaultSubtota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ales" fld="16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E4033-88BD-468B-9796-E92018466AB2}" name="PivotTable2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 rowHeaderCaption="Region">
  <location ref="D7:E11" firstHeaderRow="1" firstDataRow="1" firstDataCol="1"/>
  <pivotFields count="21">
    <pivotField numFmtId="15" showAll="0"/>
    <pivotField showAll="0"/>
    <pivotField showAll="0"/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8">
        <item x="2"/>
        <item x="3"/>
        <item x="44"/>
        <item x="6"/>
        <item x="12"/>
        <item x="11"/>
        <item x="9"/>
        <item x="30"/>
        <item x="70"/>
        <item x="32"/>
        <item x="33"/>
        <item x="20"/>
        <item x="50"/>
        <item x="66"/>
        <item x="15"/>
        <item x="88"/>
        <item x="27"/>
        <item x="39"/>
        <item x="64"/>
        <item x="83"/>
        <item x="13"/>
        <item x="55"/>
        <item x="65"/>
        <item x="26"/>
        <item x="52"/>
        <item x="23"/>
        <item x="93"/>
        <item x="40"/>
        <item x="72"/>
        <item x="68"/>
        <item x="80"/>
        <item x="59"/>
        <item x="92"/>
        <item x="58"/>
        <item x="96"/>
        <item x="85"/>
        <item x="38"/>
        <item x="4"/>
        <item x="84"/>
        <item x="5"/>
        <item x="45"/>
        <item x="75"/>
        <item x="1"/>
        <item x="90"/>
        <item x="89"/>
        <item x="41"/>
        <item x="21"/>
        <item x="19"/>
        <item x="51"/>
        <item x="71"/>
        <item x="18"/>
        <item x="91"/>
        <item x="63"/>
        <item x="31"/>
        <item x="35"/>
        <item x="78"/>
        <item x="49"/>
        <item x="7"/>
        <item x="56"/>
        <item x="28"/>
        <item x="81"/>
        <item x="36"/>
        <item x="79"/>
        <item x="95"/>
        <item x="24"/>
        <item x="54"/>
        <item x="82"/>
        <item x="17"/>
        <item x="37"/>
        <item x="0"/>
        <item x="43"/>
        <item x="67"/>
        <item x="87"/>
        <item x="14"/>
        <item x="46"/>
        <item x="16"/>
        <item x="62"/>
        <item x="74"/>
        <item x="34"/>
        <item x="76"/>
        <item x="61"/>
        <item x="29"/>
        <item x="53"/>
        <item x="77"/>
        <item x="25"/>
        <item x="60"/>
        <item x="48"/>
        <item x="10"/>
        <item x="86"/>
        <item x="8"/>
        <item x="94"/>
        <item x="47"/>
        <item x="22"/>
        <item x="57"/>
        <item x="69"/>
        <item x="42"/>
        <item x="73"/>
        <item t="default"/>
      </items>
    </pivotField>
    <pivotField showAll="0"/>
    <pivotField showAll="0"/>
    <pivotField numFmtId="2"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Sales" fld="16" baseField="0" baseItem="0"/>
  </dataFields>
  <chartFormats count="5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7359F-197D-4859-8217-5B65C2506FE3}" name="PivotTable2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SalesPerson">
  <location ref="A7:B12" firstHeaderRow="1" firstDataRow="1" firstDataCol="1"/>
  <pivotFields count="21">
    <pivotField numFmtId="15"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" showAl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ales" fld="1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E691-24DC-48BF-A3E4-51463D40FA99}">
  <dimension ref="A1:U151"/>
  <sheetViews>
    <sheetView zoomScale="96" workbookViewId="0">
      <selection activeCell="F5" sqref="F5"/>
    </sheetView>
  </sheetViews>
  <sheetFormatPr defaultRowHeight="14.5" x14ac:dyDescent="0.35"/>
  <cols>
    <col min="1" max="1" width="11.6328125" bestFit="1" customWidth="1"/>
    <col min="2" max="2" width="9.7265625" customWidth="1"/>
    <col min="3" max="3" width="11" bestFit="1" customWidth="1"/>
    <col min="4" max="4" width="12.54296875" bestFit="1" customWidth="1"/>
    <col min="5" max="5" width="17.08984375" bestFit="1" customWidth="1"/>
    <col min="6" max="6" width="11.54296875" bestFit="1" customWidth="1"/>
    <col min="7" max="7" width="7" bestFit="1" customWidth="1"/>
    <col min="8" max="8" width="12.36328125" bestFit="1" customWidth="1"/>
    <col min="9" max="9" width="15.36328125" bestFit="1" customWidth="1"/>
    <col min="10" max="10" width="4.08984375" bestFit="1" customWidth="1"/>
    <col min="11" max="11" width="10.26953125" bestFit="1" customWidth="1"/>
    <col min="12" max="12" width="8.7265625" bestFit="1" customWidth="1"/>
    <col min="13" max="13" width="15.26953125" bestFit="1" customWidth="1"/>
    <col min="14" max="14" width="15.453125" bestFit="1" customWidth="1"/>
    <col min="15" max="15" width="13.81640625" bestFit="1" customWidth="1"/>
    <col min="16" max="16" width="11" bestFit="1" customWidth="1"/>
    <col min="17" max="17" width="9.7265625" bestFit="1" customWidth="1"/>
    <col min="18" max="18" width="9.81640625" bestFit="1" customWidth="1"/>
    <col min="19" max="19" width="6.453125" bestFit="1" customWidth="1"/>
    <col min="20" max="20" width="8" bestFit="1" customWidth="1"/>
    <col min="21" max="21" width="11.90625" bestFit="1" customWidth="1"/>
  </cols>
  <sheetData>
    <row r="1" spans="1:21" ht="15.5" x14ac:dyDescent="0.35">
      <c r="A1" s="1" t="s">
        <v>0</v>
      </c>
      <c r="B1" s="1" t="s">
        <v>203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193</v>
      </c>
      <c r="S1" s="1" t="s">
        <v>16</v>
      </c>
      <c r="T1" s="1" t="s">
        <v>194</v>
      </c>
      <c r="U1" s="1"/>
    </row>
    <row r="2" spans="1:21" x14ac:dyDescent="0.35">
      <c r="A2" s="2">
        <v>46113</v>
      </c>
      <c r="B2" s="2" t="s">
        <v>323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2</v>
      </c>
      <c r="K2">
        <v>50000</v>
      </c>
      <c r="L2">
        <v>2000</v>
      </c>
      <c r="M2" t="s">
        <v>25</v>
      </c>
      <c r="N2" t="s">
        <v>26</v>
      </c>
      <c r="O2">
        <v>42000</v>
      </c>
      <c r="P2">
        <v>100000</v>
      </c>
      <c r="Q2">
        <v>98000</v>
      </c>
      <c r="R2">
        <v>84000</v>
      </c>
      <c r="S2">
        <v>14000</v>
      </c>
      <c r="T2" s="4">
        <v>14.285714285714285</v>
      </c>
    </row>
    <row r="3" spans="1:21" x14ac:dyDescent="0.35">
      <c r="A3" s="2">
        <v>46113</v>
      </c>
      <c r="B3" s="2" t="s">
        <v>323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24</v>
      </c>
      <c r="J3">
        <v>5</v>
      </c>
      <c r="K3">
        <v>12000</v>
      </c>
      <c r="L3">
        <v>1000</v>
      </c>
      <c r="M3" t="s">
        <v>33</v>
      </c>
      <c r="N3" t="s">
        <v>26</v>
      </c>
      <c r="O3">
        <v>9500</v>
      </c>
      <c r="P3">
        <v>60000</v>
      </c>
      <c r="Q3">
        <v>59000</v>
      </c>
      <c r="R3">
        <v>47500</v>
      </c>
      <c r="S3">
        <v>11500</v>
      </c>
      <c r="T3" s="4">
        <v>19.491525423728813</v>
      </c>
    </row>
    <row r="4" spans="1:21" x14ac:dyDescent="0.35">
      <c r="A4" s="2">
        <v>46114</v>
      </c>
      <c r="B4" s="2" t="s">
        <v>323</v>
      </c>
      <c r="C4" t="s">
        <v>34</v>
      </c>
      <c r="D4" t="s">
        <v>35</v>
      </c>
      <c r="E4" t="s">
        <v>36</v>
      </c>
      <c r="F4" t="s">
        <v>37</v>
      </c>
      <c r="G4" t="s">
        <v>22</v>
      </c>
      <c r="H4" t="s">
        <v>38</v>
      </c>
      <c r="I4" t="s">
        <v>39</v>
      </c>
      <c r="J4">
        <v>10</v>
      </c>
      <c r="K4">
        <v>1500</v>
      </c>
      <c r="L4">
        <v>500</v>
      </c>
      <c r="M4" t="s">
        <v>40</v>
      </c>
      <c r="N4" t="s">
        <v>26</v>
      </c>
      <c r="O4">
        <v>900</v>
      </c>
      <c r="P4">
        <v>15000</v>
      </c>
      <c r="Q4">
        <v>14500</v>
      </c>
      <c r="R4">
        <v>9000</v>
      </c>
      <c r="S4">
        <v>5500</v>
      </c>
      <c r="T4" s="4">
        <v>37.931034482758619</v>
      </c>
    </row>
    <row r="5" spans="1:21" x14ac:dyDescent="0.35">
      <c r="A5" s="2">
        <v>46114</v>
      </c>
      <c r="B5" s="2" t="s">
        <v>323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39</v>
      </c>
      <c r="J5">
        <v>20</v>
      </c>
      <c r="K5">
        <v>800</v>
      </c>
      <c r="L5">
        <v>200</v>
      </c>
      <c r="M5" t="s">
        <v>25</v>
      </c>
      <c r="N5" t="s">
        <v>47</v>
      </c>
      <c r="O5">
        <v>500</v>
      </c>
      <c r="P5">
        <v>16000</v>
      </c>
      <c r="Q5">
        <v>15800</v>
      </c>
      <c r="R5">
        <v>10000</v>
      </c>
      <c r="S5">
        <v>5800</v>
      </c>
      <c r="T5" s="4">
        <v>36.708860759493675</v>
      </c>
    </row>
    <row r="6" spans="1:21" x14ac:dyDescent="0.35">
      <c r="A6" s="2">
        <v>46115</v>
      </c>
      <c r="B6" s="2" t="s">
        <v>323</v>
      </c>
      <c r="C6" t="s">
        <v>48</v>
      </c>
      <c r="D6" t="s">
        <v>49</v>
      </c>
      <c r="E6" t="s">
        <v>50</v>
      </c>
      <c r="F6" t="s">
        <v>21</v>
      </c>
      <c r="G6" t="s">
        <v>51</v>
      </c>
      <c r="H6" t="s">
        <v>23</v>
      </c>
      <c r="I6" t="s">
        <v>24</v>
      </c>
      <c r="J6">
        <v>1</v>
      </c>
      <c r="K6">
        <v>50000</v>
      </c>
      <c r="L6">
        <v>1000</v>
      </c>
      <c r="M6" t="s">
        <v>52</v>
      </c>
      <c r="N6" t="s">
        <v>26</v>
      </c>
      <c r="O6">
        <v>42000</v>
      </c>
      <c r="P6">
        <v>50000</v>
      </c>
      <c r="Q6">
        <v>49000</v>
      </c>
      <c r="R6">
        <v>42000</v>
      </c>
      <c r="S6">
        <v>7000</v>
      </c>
      <c r="T6" s="4">
        <v>14.285714285714285</v>
      </c>
    </row>
    <row r="7" spans="1:21" x14ac:dyDescent="0.35">
      <c r="A7" s="2">
        <v>46115</v>
      </c>
      <c r="B7" s="2" t="s">
        <v>323</v>
      </c>
      <c r="C7" t="s">
        <v>53</v>
      </c>
      <c r="D7" t="s">
        <v>54</v>
      </c>
      <c r="E7" t="s">
        <v>55</v>
      </c>
      <c r="F7" t="s">
        <v>56</v>
      </c>
      <c r="G7" t="s">
        <v>22</v>
      </c>
      <c r="H7" t="s">
        <v>57</v>
      </c>
      <c r="I7" t="s">
        <v>58</v>
      </c>
      <c r="J7">
        <v>3</v>
      </c>
      <c r="K7">
        <v>18000</v>
      </c>
      <c r="L7">
        <v>1500</v>
      </c>
      <c r="M7" t="s">
        <v>33</v>
      </c>
      <c r="N7" t="s">
        <v>59</v>
      </c>
      <c r="O7">
        <v>14000</v>
      </c>
      <c r="P7">
        <v>54000</v>
      </c>
      <c r="Q7">
        <v>52500</v>
      </c>
      <c r="R7">
        <v>42000</v>
      </c>
      <c r="S7">
        <v>10500</v>
      </c>
      <c r="T7" s="4">
        <v>20</v>
      </c>
    </row>
    <row r="8" spans="1:21" x14ac:dyDescent="0.35">
      <c r="A8" s="2">
        <v>46116</v>
      </c>
      <c r="B8" s="2" t="s">
        <v>323</v>
      </c>
      <c r="C8" t="s">
        <v>60</v>
      </c>
      <c r="D8" t="s">
        <v>61</v>
      </c>
      <c r="E8" t="s">
        <v>62</v>
      </c>
      <c r="F8" t="s">
        <v>30</v>
      </c>
      <c r="G8" t="s">
        <v>31</v>
      </c>
      <c r="H8" t="s">
        <v>63</v>
      </c>
      <c r="I8" t="s">
        <v>39</v>
      </c>
      <c r="J8">
        <v>8</v>
      </c>
      <c r="K8">
        <v>2500</v>
      </c>
      <c r="L8">
        <v>400</v>
      </c>
      <c r="M8" t="s">
        <v>25</v>
      </c>
      <c r="N8" t="s">
        <v>26</v>
      </c>
      <c r="O8">
        <v>1500</v>
      </c>
      <c r="P8">
        <v>20000</v>
      </c>
      <c r="Q8">
        <v>19600</v>
      </c>
      <c r="R8">
        <v>12000</v>
      </c>
      <c r="S8">
        <v>7600</v>
      </c>
      <c r="T8" s="4">
        <v>38.775510204081634</v>
      </c>
    </row>
    <row r="9" spans="1:21" x14ac:dyDescent="0.35">
      <c r="A9" s="2">
        <v>46116</v>
      </c>
      <c r="B9" s="2" t="s">
        <v>323</v>
      </c>
      <c r="C9" t="s">
        <v>64</v>
      </c>
      <c r="D9" t="s">
        <v>65</v>
      </c>
      <c r="E9" t="s">
        <v>66</v>
      </c>
      <c r="F9" t="s">
        <v>37</v>
      </c>
      <c r="G9" t="s">
        <v>45</v>
      </c>
      <c r="H9" t="s">
        <v>67</v>
      </c>
      <c r="I9" t="s">
        <v>24</v>
      </c>
      <c r="J9">
        <v>4</v>
      </c>
      <c r="K9">
        <v>22000</v>
      </c>
      <c r="L9">
        <v>2000</v>
      </c>
      <c r="M9" t="s">
        <v>52</v>
      </c>
      <c r="N9" t="s">
        <v>47</v>
      </c>
      <c r="O9">
        <v>17500</v>
      </c>
      <c r="P9">
        <v>88000</v>
      </c>
      <c r="Q9">
        <v>86000</v>
      </c>
      <c r="R9">
        <v>70000</v>
      </c>
      <c r="S9">
        <v>16000</v>
      </c>
      <c r="T9" s="4">
        <v>18.604651162790699</v>
      </c>
    </row>
    <row r="10" spans="1:21" x14ac:dyDescent="0.35">
      <c r="A10" s="2">
        <v>46117</v>
      </c>
      <c r="B10" s="2" t="s">
        <v>323</v>
      </c>
      <c r="C10" t="s">
        <v>68</v>
      </c>
      <c r="D10" t="s">
        <v>69</v>
      </c>
      <c r="E10" t="s">
        <v>70</v>
      </c>
      <c r="F10" t="s">
        <v>44</v>
      </c>
      <c r="G10" t="s">
        <v>51</v>
      </c>
      <c r="H10" t="s">
        <v>71</v>
      </c>
      <c r="I10" t="s">
        <v>24</v>
      </c>
      <c r="J10">
        <v>6</v>
      </c>
      <c r="K10">
        <v>28000</v>
      </c>
      <c r="L10">
        <v>3000</v>
      </c>
      <c r="M10" t="s">
        <v>33</v>
      </c>
      <c r="N10" t="s">
        <v>26</v>
      </c>
      <c r="O10">
        <v>23000</v>
      </c>
      <c r="P10">
        <v>168000</v>
      </c>
      <c r="Q10">
        <v>165000</v>
      </c>
      <c r="R10">
        <v>138000</v>
      </c>
      <c r="S10">
        <v>27000</v>
      </c>
      <c r="T10" s="4">
        <v>16.363636363636363</v>
      </c>
    </row>
    <row r="11" spans="1:21" x14ac:dyDescent="0.35">
      <c r="A11" s="2">
        <v>46117</v>
      </c>
      <c r="B11" s="2" t="s">
        <v>323</v>
      </c>
      <c r="C11" t="s">
        <v>72</v>
      </c>
      <c r="D11" t="s">
        <v>73</v>
      </c>
      <c r="E11" t="s">
        <v>74</v>
      </c>
      <c r="F11" t="s">
        <v>21</v>
      </c>
      <c r="G11" t="s">
        <v>22</v>
      </c>
      <c r="H11" t="s">
        <v>32</v>
      </c>
      <c r="I11" t="s">
        <v>24</v>
      </c>
      <c r="J11">
        <v>2</v>
      </c>
      <c r="K11">
        <v>12000</v>
      </c>
      <c r="L11">
        <v>500</v>
      </c>
      <c r="M11" t="s">
        <v>25</v>
      </c>
      <c r="N11" t="s">
        <v>26</v>
      </c>
      <c r="O11">
        <v>9500</v>
      </c>
      <c r="P11">
        <v>24000</v>
      </c>
      <c r="Q11">
        <v>23500</v>
      </c>
      <c r="R11">
        <v>19000</v>
      </c>
      <c r="S11">
        <v>4500</v>
      </c>
      <c r="T11" s="4">
        <v>19.148936170212767</v>
      </c>
    </row>
    <row r="12" spans="1:21" x14ac:dyDescent="0.35">
      <c r="A12" s="2">
        <v>46118</v>
      </c>
      <c r="B12" s="2" t="s">
        <v>323</v>
      </c>
      <c r="C12" t="s">
        <v>75</v>
      </c>
      <c r="D12" t="s">
        <v>76</v>
      </c>
      <c r="E12" t="s">
        <v>77</v>
      </c>
      <c r="F12" t="s">
        <v>56</v>
      </c>
      <c r="G12" t="s">
        <v>31</v>
      </c>
      <c r="H12" t="s">
        <v>23</v>
      </c>
      <c r="I12" t="s">
        <v>24</v>
      </c>
      <c r="J12">
        <v>3</v>
      </c>
      <c r="K12">
        <v>50000</v>
      </c>
      <c r="L12">
        <v>2500</v>
      </c>
      <c r="M12" t="s">
        <v>52</v>
      </c>
      <c r="N12" t="s">
        <v>59</v>
      </c>
      <c r="O12">
        <v>42000</v>
      </c>
      <c r="P12">
        <v>150000</v>
      </c>
      <c r="Q12">
        <v>147500</v>
      </c>
      <c r="R12">
        <v>126000</v>
      </c>
      <c r="S12">
        <v>21500</v>
      </c>
      <c r="T12" s="4">
        <v>14.576271186440678</v>
      </c>
    </row>
    <row r="13" spans="1:21" x14ac:dyDescent="0.35">
      <c r="A13" s="2">
        <v>46118</v>
      </c>
      <c r="B13" s="2" t="s">
        <v>323</v>
      </c>
      <c r="C13" t="s">
        <v>78</v>
      </c>
      <c r="D13" t="s">
        <v>79</v>
      </c>
      <c r="E13" t="s">
        <v>80</v>
      </c>
      <c r="F13" t="s">
        <v>30</v>
      </c>
      <c r="G13" t="s">
        <v>45</v>
      </c>
      <c r="H13" t="s">
        <v>38</v>
      </c>
      <c r="I13" t="s">
        <v>39</v>
      </c>
      <c r="J13">
        <v>15</v>
      </c>
      <c r="K13">
        <v>1500</v>
      </c>
      <c r="L13">
        <v>600</v>
      </c>
      <c r="M13" t="s">
        <v>40</v>
      </c>
      <c r="N13" t="s">
        <v>26</v>
      </c>
      <c r="O13">
        <v>900</v>
      </c>
      <c r="P13">
        <v>22500</v>
      </c>
      <c r="Q13">
        <v>21900</v>
      </c>
      <c r="R13">
        <v>13500</v>
      </c>
      <c r="S13">
        <v>8400</v>
      </c>
      <c r="T13" s="4">
        <v>38.356164383561641</v>
      </c>
    </row>
    <row r="14" spans="1:21" x14ac:dyDescent="0.35">
      <c r="A14" s="2">
        <v>46119</v>
      </c>
      <c r="B14" s="2" t="s">
        <v>323</v>
      </c>
      <c r="C14" t="s">
        <v>81</v>
      </c>
      <c r="D14" t="s">
        <v>82</v>
      </c>
      <c r="E14" t="s">
        <v>83</v>
      </c>
      <c r="F14" t="s">
        <v>37</v>
      </c>
      <c r="G14" t="s">
        <v>51</v>
      </c>
      <c r="H14" t="s">
        <v>46</v>
      </c>
      <c r="I14" t="s">
        <v>39</v>
      </c>
      <c r="J14">
        <v>25</v>
      </c>
      <c r="K14">
        <v>800</v>
      </c>
      <c r="L14">
        <v>300</v>
      </c>
      <c r="M14" t="s">
        <v>25</v>
      </c>
      <c r="N14" t="s">
        <v>26</v>
      </c>
      <c r="O14">
        <v>500</v>
      </c>
      <c r="P14">
        <v>20000</v>
      </c>
      <c r="Q14">
        <v>19700</v>
      </c>
      <c r="R14">
        <v>12500</v>
      </c>
      <c r="S14">
        <v>7200</v>
      </c>
      <c r="T14" s="4">
        <v>36.548223350253807</v>
      </c>
    </row>
    <row r="15" spans="1:21" x14ac:dyDescent="0.35">
      <c r="A15" s="2">
        <v>46119</v>
      </c>
      <c r="B15" s="2" t="s">
        <v>323</v>
      </c>
      <c r="C15" t="s">
        <v>84</v>
      </c>
      <c r="D15" t="s">
        <v>85</v>
      </c>
      <c r="E15" t="s">
        <v>86</v>
      </c>
      <c r="F15" t="s">
        <v>44</v>
      </c>
      <c r="G15" t="s">
        <v>22</v>
      </c>
      <c r="H15" t="s">
        <v>57</v>
      </c>
      <c r="I15" t="s">
        <v>58</v>
      </c>
      <c r="J15">
        <v>2</v>
      </c>
      <c r="K15">
        <v>18000</v>
      </c>
      <c r="L15">
        <v>1000</v>
      </c>
      <c r="M15" t="s">
        <v>33</v>
      </c>
      <c r="N15" t="s">
        <v>47</v>
      </c>
      <c r="O15">
        <v>14000</v>
      </c>
      <c r="P15">
        <v>36000</v>
      </c>
      <c r="Q15">
        <v>35000</v>
      </c>
      <c r="R15">
        <v>28000</v>
      </c>
      <c r="S15">
        <v>7000</v>
      </c>
      <c r="T15" s="4">
        <v>20</v>
      </c>
    </row>
    <row r="16" spans="1:21" x14ac:dyDescent="0.35">
      <c r="A16" s="2">
        <v>46120</v>
      </c>
      <c r="B16" s="2" t="s">
        <v>323</v>
      </c>
      <c r="C16" t="s">
        <v>87</v>
      </c>
      <c r="D16" t="s">
        <v>88</v>
      </c>
      <c r="E16" t="s">
        <v>89</v>
      </c>
      <c r="F16" t="s">
        <v>21</v>
      </c>
      <c r="G16" t="s">
        <v>31</v>
      </c>
      <c r="H16" t="s">
        <v>67</v>
      </c>
      <c r="I16" t="s">
        <v>24</v>
      </c>
      <c r="J16">
        <v>5</v>
      </c>
      <c r="K16">
        <v>22000</v>
      </c>
      <c r="L16">
        <v>2500</v>
      </c>
      <c r="M16" t="s">
        <v>52</v>
      </c>
      <c r="N16" t="s">
        <v>26</v>
      </c>
      <c r="O16">
        <v>17500</v>
      </c>
      <c r="P16">
        <v>110000</v>
      </c>
      <c r="Q16">
        <v>107500</v>
      </c>
      <c r="R16">
        <v>87500</v>
      </c>
      <c r="S16">
        <v>20000</v>
      </c>
      <c r="T16" s="4">
        <v>18.604651162790699</v>
      </c>
    </row>
    <row r="17" spans="1:20" x14ac:dyDescent="0.35">
      <c r="A17" s="2">
        <v>46120</v>
      </c>
      <c r="B17" s="2" t="s">
        <v>323</v>
      </c>
      <c r="C17" t="s">
        <v>90</v>
      </c>
      <c r="D17" t="s">
        <v>91</v>
      </c>
      <c r="E17" t="s">
        <v>92</v>
      </c>
      <c r="F17" t="s">
        <v>56</v>
      </c>
      <c r="G17" t="s">
        <v>45</v>
      </c>
      <c r="H17" t="s">
        <v>63</v>
      </c>
      <c r="I17" t="s">
        <v>39</v>
      </c>
      <c r="J17">
        <v>12</v>
      </c>
      <c r="K17">
        <v>2500</v>
      </c>
      <c r="L17">
        <v>500</v>
      </c>
      <c r="M17" t="s">
        <v>25</v>
      </c>
      <c r="N17" t="s">
        <v>26</v>
      </c>
      <c r="O17">
        <v>1500</v>
      </c>
      <c r="P17">
        <v>30000</v>
      </c>
      <c r="Q17">
        <v>29500</v>
      </c>
      <c r="R17">
        <v>18000</v>
      </c>
      <c r="S17">
        <v>11500</v>
      </c>
      <c r="T17" s="4">
        <v>38.983050847457626</v>
      </c>
    </row>
    <row r="18" spans="1:20" x14ac:dyDescent="0.35">
      <c r="A18" s="2">
        <v>46121</v>
      </c>
      <c r="B18" s="2" t="s">
        <v>323</v>
      </c>
      <c r="C18" t="s">
        <v>93</v>
      </c>
      <c r="D18" t="s">
        <v>94</v>
      </c>
      <c r="E18" t="s">
        <v>95</v>
      </c>
      <c r="F18" t="s">
        <v>30</v>
      </c>
      <c r="G18" t="s">
        <v>51</v>
      </c>
      <c r="H18" t="s">
        <v>71</v>
      </c>
      <c r="I18" t="s">
        <v>24</v>
      </c>
      <c r="J18">
        <v>4</v>
      </c>
      <c r="K18">
        <v>28000</v>
      </c>
      <c r="L18">
        <v>2000</v>
      </c>
      <c r="M18" t="s">
        <v>33</v>
      </c>
      <c r="N18" t="s">
        <v>59</v>
      </c>
      <c r="O18">
        <v>23000</v>
      </c>
      <c r="P18">
        <v>112000</v>
      </c>
      <c r="Q18">
        <v>110000</v>
      </c>
      <c r="R18">
        <v>92000</v>
      </c>
      <c r="S18">
        <v>18000</v>
      </c>
      <c r="T18" s="4">
        <v>16.363636363636363</v>
      </c>
    </row>
    <row r="19" spans="1:20" x14ac:dyDescent="0.35">
      <c r="A19" s="2">
        <v>46121</v>
      </c>
      <c r="B19" s="2" t="s">
        <v>323</v>
      </c>
      <c r="C19" t="s">
        <v>96</v>
      </c>
      <c r="D19" t="s">
        <v>97</v>
      </c>
      <c r="E19" t="s">
        <v>98</v>
      </c>
      <c r="F19" t="s">
        <v>37</v>
      </c>
      <c r="G19" t="s">
        <v>22</v>
      </c>
      <c r="H19" t="s">
        <v>23</v>
      </c>
      <c r="I19" t="s">
        <v>24</v>
      </c>
      <c r="J19">
        <v>2</v>
      </c>
      <c r="K19">
        <v>50000</v>
      </c>
      <c r="L19">
        <v>3000</v>
      </c>
      <c r="M19" t="s">
        <v>25</v>
      </c>
      <c r="N19" t="s">
        <v>26</v>
      </c>
      <c r="O19">
        <v>42000</v>
      </c>
      <c r="P19">
        <v>100000</v>
      </c>
      <c r="Q19">
        <v>97000</v>
      </c>
      <c r="R19">
        <v>84000</v>
      </c>
      <c r="S19">
        <v>13000</v>
      </c>
      <c r="T19" s="4">
        <v>13.402061855670103</v>
      </c>
    </row>
    <row r="20" spans="1:20" x14ac:dyDescent="0.35">
      <c r="A20" s="2">
        <v>46122</v>
      </c>
      <c r="B20" s="2" t="s">
        <v>323</v>
      </c>
      <c r="C20" t="s">
        <v>99</v>
      </c>
      <c r="D20" t="s">
        <v>100</v>
      </c>
      <c r="E20" t="s">
        <v>101</v>
      </c>
      <c r="F20" t="s">
        <v>44</v>
      </c>
      <c r="G20" t="s">
        <v>31</v>
      </c>
      <c r="H20" t="s">
        <v>32</v>
      </c>
      <c r="I20" t="s">
        <v>24</v>
      </c>
      <c r="J20">
        <v>6</v>
      </c>
      <c r="K20">
        <v>12000</v>
      </c>
      <c r="L20">
        <v>1500</v>
      </c>
      <c r="M20" t="s">
        <v>40</v>
      </c>
      <c r="N20" t="s">
        <v>26</v>
      </c>
      <c r="O20">
        <v>9500</v>
      </c>
      <c r="P20">
        <v>72000</v>
      </c>
      <c r="Q20">
        <v>70500</v>
      </c>
      <c r="R20">
        <v>57000</v>
      </c>
      <c r="S20">
        <v>13500</v>
      </c>
      <c r="T20" s="4">
        <v>19.148936170212767</v>
      </c>
    </row>
    <row r="21" spans="1:20" x14ac:dyDescent="0.35">
      <c r="A21" s="2">
        <v>46122</v>
      </c>
      <c r="B21" s="2" t="s">
        <v>323</v>
      </c>
      <c r="C21" t="s">
        <v>102</v>
      </c>
      <c r="D21" t="s">
        <v>103</v>
      </c>
      <c r="E21" t="s">
        <v>104</v>
      </c>
      <c r="F21" t="s">
        <v>21</v>
      </c>
      <c r="G21" t="s">
        <v>45</v>
      </c>
      <c r="H21" t="s">
        <v>57</v>
      </c>
      <c r="I21" t="s">
        <v>58</v>
      </c>
      <c r="J21">
        <v>4</v>
      </c>
      <c r="K21">
        <v>18000</v>
      </c>
      <c r="L21">
        <v>2000</v>
      </c>
      <c r="M21" t="s">
        <v>52</v>
      </c>
      <c r="N21" t="s">
        <v>47</v>
      </c>
      <c r="O21">
        <v>14000</v>
      </c>
      <c r="P21">
        <v>72000</v>
      </c>
      <c r="Q21">
        <v>70000</v>
      </c>
      <c r="R21">
        <v>56000</v>
      </c>
      <c r="S21">
        <v>14000</v>
      </c>
      <c r="T21" s="4">
        <v>20</v>
      </c>
    </row>
    <row r="22" spans="1:20" x14ac:dyDescent="0.35">
      <c r="A22" s="2">
        <v>46123</v>
      </c>
      <c r="B22" s="2" t="s">
        <v>323</v>
      </c>
      <c r="C22" t="s">
        <v>105</v>
      </c>
      <c r="D22" t="s">
        <v>106</v>
      </c>
      <c r="E22" t="s">
        <v>107</v>
      </c>
      <c r="F22" t="s">
        <v>56</v>
      </c>
      <c r="G22" t="s">
        <v>51</v>
      </c>
      <c r="H22" t="s">
        <v>38</v>
      </c>
      <c r="I22" t="s">
        <v>39</v>
      </c>
      <c r="J22">
        <v>20</v>
      </c>
      <c r="K22">
        <v>1500</v>
      </c>
      <c r="L22">
        <v>800</v>
      </c>
      <c r="M22" t="s">
        <v>25</v>
      </c>
      <c r="N22" t="s">
        <v>26</v>
      </c>
      <c r="O22">
        <v>900</v>
      </c>
      <c r="P22">
        <v>30000</v>
      </c>
      <c r="Q22">
        <v>29200</v>
      </c>
      <c r="R22">
        <v>18000</v>
      </c>
      <c r="S22">
        <v>11200</v>
      </c>
      <c r="T22" s="4">
        <v>38.356164383561641</v>
      </c>
    </row>
    <row r="23" spans="1:20" x14ac:dyDescent="0.35">
      <c r="A23" s="2">
        <v>46123</v>
      </c>
      <c r="B23" s="2" t="s">
        <v>323</v>
      </c>
      <c r="C23" t="s">
        <v>108</v>
      </c>
      <c r="D23" t="s">
        <v>109</v>
      </c>
      <c r="E23" t="s">
        <v>110</v>
      </c>
      <c r="F23" t="s">
        <v>30</v>
      </c>
      <c r="G23" t="s">
        <v>22</v>
      </c>
      <c r="H23" t="s">
        <v>46</v>
      </c>
      <c r="I23" t="s">
        <v>39</v>
      </c>
      <c r="J23">
        <v>30</v>
      </c>
      <c r="K23">
        <v>800</v>
      </c>
      <c r="L23">
        <v>500</v>
      </c>
      <c r="M23" t="s">
        <v>33</v>
      </c>
      <c r="N23" t="s">
        <v>26</v>
      </c>
      <c r="O23">
        <v>500</v>
      </c>
      <c r="P23">
        <v>24000</v>
      </c>
      <c r="Q23">
        <v>23500</v>
      </c>
      <c r="R23">
        <v>15000</v>
      </c>
      <c r="S23">
        <v>8500</v>
      </c>
      <c r="T23" s="4">
        <v>36.170212765957451</v>
      </c>
    </row>
    <row r="24" spans="1:20" x14ac:dyDescent="0.35">
      <c r="A24" s="2">
        <v>46124</v>
      </c>
      <c r="B24" s="2" t="s">
        <v>323</v>
      </c>
      <c r="C24" t="s">
        <v>111</v>
      </c>
      <c r="D24" t="s">
        <v>112</v>
      </c>
      <c r="E24" t="s">
        <v>113</v>
      </c>
      <c r="F24" t="s">
        <v>37</v>
      </c>
      <c r="G24" t="s">
        <v>31</v>
      </c>
      <c r="H24" t="s">
        <v>23</v>
      </c>
      <c r="I24" t="s">
        <v>24</v>
      </c>
      <c r="J24">
        <v>2</v>
      </c>
      <c r="K24">
        <v>50000</v>
      </c>
      <c r="L24">
        <v>2000</v>
      </c>
      <c r="M24" t="s">
        <v>52</v>
      </c>
      <c r="N24" t="s">
        <v>59</v>
      </c>
      <c r="O24">
        <v>42000</v>
      </c>
      <c r="P24">
        <v>100000</v>
      </c>
      <c r="Q24">
        <v>98000</v>
      </c>
      <c r="R24">
        <v>84000</v>
      </c>
      <c r="S24">
        <v>14000</v>
      </c>
      <c r="T24" s="4">
        <v>14.285714285714285</v>
      </c>
    </row>
    <row r="25" spans="1:20" x14ac:dyDescent="0.35">
      <c r="A25" s="2">
        <v>46124</v>
      </c>
      <c r="B25" s="2" t="s">
        <v>323</v>
      </c>
      <c r="C25" t="s">
        <v>114</v>
      </c>
      <c r="D25" t="s">
        <v>115</v>
      </c>
      <c r="E25" t="s">
        <v>116</v>
      </c>
      <c r="F25" t="s">
        <v>44</v>
      </c>
      <c r="G25" t="s">
        <v>45</v>
      </c>
      <c r="H25" t="s">
        <v>67</v>
      </c>
      <c r="I25" t="s">
        <v>24</v>
      </c>
      <c r="J25">
        <v>3</v>
      </c>
      <c r="K25">
        <v>22000</v>
      </c>
      <c r="L25">
        <v>1000</v>
      </c>
      <c r="M25" t="s">
        <v>25</v>
      </c>
      <c r="N25" t="s">
        <v>26</v>
      </c>
      <c r="O25">
        <v>17500</v>
      </c>
      <c r="P25">
        <v>66000</v>
      </c>
      <c r="Q25">
        <v>65000</v>
      </c>
      <c r="R25">
        <v>52500</v>
      </c>
      <c r="S25">
        <v>12500</v>
      </c>
      <c r="T25" s="4">
        <v>19.230769230769234</v>
      </c>
    </row>
    <row r="26" spans="1:20" x14ac:dyDescent="0.35">
      <c r="A26" s="2">
        <v>46125</v>
      </c>
      <c r="B26" s="2" t="s">
        <v>323</v>
      </c>
      <c r="C26" t="s">
        <v>117</v>
      </c>
      <c r="D26" t="s">
        <v>118</v>
      </c>
      <c r="E26" t="s">
        <v>119</v>
      </c>
      <c r="F26" t="s">
        <v>21</v>
      </c>
      <c r="G26" t="s">
        <v>51</v>
      </c>
      <c r="H26" t="s">
        <v>71</v>
      </c>
      <c r="I26" t="s">
        <v>24</v>
      </c>
      <c r="J26">
        <v>7</v>
      </c>
      <c r="K26">
        <v>28000</v>
      </c>
      <c r="L26">
        <v>3500</v>
      </c>
      <c r="M26" t="s">
        <v>33</v>
      </c>
      <c r="N26" t="s">
        <v>26</v>
      </c>
      <c r="O26">
        <v>23000</v>
      </c>
      <c r="P26">
        <v>196000</v>
      </c>
      <c r="Q26">
        <v>192500</v>
      </c>
      <c r="R26">
        <v>161000</v>
      </c>
      <c r="S26">
        <v>31500</v>
      </c>
      <c r="T26" s="4">
        <v>16.363636363636363</v>
      </c>
    </row>
    <row r="27" spans="1:20" x14ac:dyDescent="0.35">
      <c r="A27" s="2">
        <v>46125</v>
      </c>
      <c r="B27" s="2" t="s">
        <v>323</v>
      </c>
      <c r="C27" t="s">
        <v>120</v>
      </c>
      <c r="D27" t="s">
        <v>121</v>
      </c>
      <c r="E27" t="s">
        <v>122</v>
      </c>
      <c r="F27" t="s">
        <v>56</v>
      </c>
      <c r="G27" t="s">
        <v>22</v>
      </c>
      <c r="H27" t="s">
        <v>63</v>
      </c>
      <c r="I27" t="s">
        <v>39</v>
      </c>
      <c r="J27">
        <v>15</v>
      </c>
      <c r="K27">
        <v>2500</v>
      </c>
      <c r="L27">
        <v>600</v>
      </c>
      <c r="M27" t="s">
        <v>40</v>
      </c>
      <c r="N27" t="s">
        <v>47</v>
      </c>
      <c r="O27">
        <v>1500</v>
      </c>
      <c r="P27">
        <v>37500</v>
      </c>
      <c r="Q27">
        <v>36900</v>
      </c>
      <c r="R27">
        <v>22500</v>
      </c>
      <c r="S27">
        <v>14400</v>
      </c>
      <c r="T27" s="4">
        <v>39.024390243902438</v>
      </c>
    </row>
    <row r="28" spans="1:20" x14ac:dyDescent="0.35">
      <c r="A28" s="2">
        <v>46126</v>
      </c>
      <c r="B28" s="2" t="s">
        <v>323</v>
      </c>
      <c r="C28" t="s">
        <v>123</v>
      </c>
      <c r="D28" t="s">
        <v>124</v>
      </c>
      <c r="E28" t="s">
        <v>125</v>
      </c>
      <c r="F28" t="s">
        <v>30</v>
      </c>
      <c r="G28" t="s">
        <v>31</v>
      </c>
      <c r="H28" t="s">
        <v>57</v>
      </c>
      <c r="I28" t="s">
        <v>58</v>
      </c>
      <c r="J28">
        <v>2</v>
      </c>
      <c r="K28">
        <v>18000</v>
      </c>
      <c r="L28">
        <v>1000</v>
      </c>
      <c r="M28" t="s">
        <v>25</v>
      </c>
      <c r="N28" t="s">
        <v>26</v>
      </c>
      <c r="O28">
        <v>14000</v>
      </c>
      <c r="P28">
        <v>36000</v>
      </c>
      <c r="Q28">
        <v>35000</v>
      </c>
      <c r="R28">
        <v>28000</v>
      </c>
      <c r="S28">
        <v>7000</v>
      </c>
      <c r="T28" s="4">
        <v>20</v>
      </c>
    </row>
    <row r="29" spans="1:20" x14ac:dyDescent="0.35">
      <c r="A29" s="2">
        <v>46126</v>
      </c>
      <c r="B29" s="2" t="s">
        <v>323</v>
      </c>
      <c r="C29" t="s">
        <v>126</v>
      </c>
      <c r="D29" t="s">
        <v>127</v>
      </c>
      <c r="E29" t="s">
        <v>128</v>
      </c>
      <c r="F29" t="s">
        <v>37</v>
      </c>
      <c r="G29" t="s">
        <v>45</v>
      </c>
      <c r="H29" t="s">
        <v>32</v>
      </c>
      <c r="I29" t="s">
        <v>24</v>
      </c>
      <c r="J29">
        <v>8</v>
      </c>
      <c r="K29">
        <v>12000</v>
      </c>
      <c r="L29">
        <v>2000</v>
      </c>
      <c r="M29" t="s">
        <v>52</v>
      </c>
      <c r="N29" t="s">
        <v>26</v>
      </c>
      <c r="O29">
        <v>9500</v>
      </c>
      <c r="P29">
        <v>96000</v>
      </c>
      <c r="Q29">
        <v>94000</v>
      </c>
      <c r="R29">
        <v>76000</v>
      </c>
      <c r="S29">
        <v>18000</v>
      </c>
      <c r="T29" s="4">
        <v>19.148936170212767</v>
      </c>
    </row>
    <row r="30" spans="1:20" x14ac:dyDescent="0.35">
      <c r="A30" s="2">
        <v>46127</v>
      </c>
      <c r="B30" s="2" t="s">
        <v>323</v>
      </c>
      <c r="C30" t="s">
        <v>129</v>
      </c>
      <c r="D30" t="s">
        <v>130</v>
      </c>
      <c r="E30" t="s">
        <v>131</v>
      </c>
      <c r="F30" t="s">
        <v>44</v>
      </c>
      <c r="G30" t="s">
        <v>51</v>
      </c>
      <c r="H30" t="s">
        <v>23</v>
      </c>
      <c r="I30" t="s">
        <v>24</v>
      </c>
      <c r="J30">
        <v>3</v>
      </c>
      <c r="K30">
        <v>50000</v>
      </c>
      <c r="L30">
        <v>4000</v>
      </c>
      <c r="M30" t="s">
        <v>33</v>
      </c>
      <c r="N30" t="s">
        <v>59</v>
      </c>
      <c r="O30">
        <v>42000</v>
      </c>
      <c r="P30">
        <v>150000</v>
      </c>
      <c r="Q30">
        <v>146000</v>
      </c>
      <c r="R30">
        <v>126000</v>
      </c>
      <c r="S30">
        <v>20000</v>
      </c>
      <c r="T30" s="4">
        <v>13.698630136986301</v>
      </c>
    </row>
    <row r="31" spans="1:20" x14ac:dyDescent="0.35">
      <c r="A31" s="2">
        <v>46127</v>
      </c>
      <c r="B31" s="2" t="s">
        <v>323</v>
      </c>
      <c r="C31" t="s">
        <v>132</v>
      </c>
      <c r="D31" t="s">
        <v>133</v>
      </c>
      <c r="E31" t="s">
        <v>134</v>
      </c>
      <c r="F31" t="s">
        <v>21</v>
      </c>
      <c r="G31" t="s">
        <v>22</v>
      </c>
      <c r="H31" t="s">
        <v>38</v>
      </c>
      <c r="I31" t="s">
        <v>39</v>
      </c>
      <c r="J31">
        <v>25</v>
      </c>
      <c r="K31">
        <v>1500</v>
      </c>
      <c r="L31">
        <v>1000</v>
      </c>
      <c r="M31" t="s">
        <v>25</v>
      </c>
      <c r="N31" t="s">
        <v>26</v>
      </c>
      <c r="O31">
        <v>900</v>
      </c>
      <c r="P31">
        <v>37500</v>
      </c>
      <c r="Q31">
        <v>36500</v>
      </c>
      <c r="R31">
        <v>22500</v>
      </c>
      <c r="S31">
        <v>14000</v>
      </c>
      <c r="T31" s="4">
        <v>38.356164383561641</v>
      </c>
    </row>
    <row r="32" spans="1:20" x14ac:dyDescent="0.35">
      <c r="A32" s="2">
        <v>46128</v>
      </c>
      <c r="B32" s="2" t="s">
        <v>323</v>
      </c>
      <c r="C32" t="s">
        <v>135</v>
      </c>
      <c r="D32" t="s">
        <v>136</v>
      </c>
      <c r="E32" t="s">
        <v>137</v>
      </c>
      <c r="F32" t="s">
        <v>56</v>
      </c>
      <c r="G32" t="s">
        <v>31</v>
      </c>
      <c r="H32" t="s">
        <v>46</v>
      </c>
      <c r="I32" t="s">
        <v>39</v>
      </c>
      <c r="J32">
        <v>40</v>
      </c>
      <c r="K32">
        <v>800</v>
      </c>
      <c r="L32">
        <v>700</v>
      </c>
      <c r="M32" t="s">
        <v>40</v>
      </c>
      <c r="N32" t="s">
        <v>26</v>
      </c>
      <c r="O32">
        <v>500</v>
      </c>
      <c r="P32">
        <v>32000</v>
      </c>
      <c r="Q32">
        <v>31300</v>
      </c>
      <c r="R32">
        <v>20000</v>
      </c>
      <c r="S32">
        <v>11300</v>
      </c>
      <c r="T32" s="4">
        <v>36.102236421725244</v>
      </c>
    </row>
    <row r="33" spans="1:20" x14ac:dyDescent="0.35">
      <c r="A33" s="2">
        <v>46128</v>
      </c>
      <c r="B33" s="2" t="s">
        <v>323</v>
      </c>
      <c r="C33" t="s">
        <v>138</v>
      </c>
      <c r="D33" t="s">
        <v>139</v>
      </c>
      <c r="E33" t="s">
        <v>140</v>
      </c>
      <c r="F33" t="s">
        <v>30</v>
      </c>
      <c r="G33" t="s">
        <v>45</v>
      </c>
      <c r="H33" t="s">
        <v>67</v>
      </c>
      <c r="I33" t="s">
        <v>24</v>
      </c>
      <c r="J33">
        <v>4</v>
      </c>
      <c r="K33">
        <v>22000</v>
      </c>
      <c r="L33">
        <v>1500</v>
      </c>
      <c r="M33" t="s">
        <v>52</v>
      </c>
      <c r="N33" t="s">
        <v>47</v>
      </c>
      <c r="O33">
        <v>17500</v>
      </c>
      <c r="P33">
        <v>88000</v>
      </c>
      <c r="Q33">
        <v>86500</v>
      </c>
      <c r="R33">
        <v>70000</v>
      </c>
      <c r="S33">
        <v>16500</v>
      </c>
      <c r="T33" s="4">
        <v>19.075144508670519</v>
      </c>
    </row>
    <row r="34" spans="1:20" x14ac:dyDescent="0.35">
      <c r="A34" s="2">
        <v>46129</v>
      </c>
      <c r="B34" s="2" t="s">
        <v>323</v>
      </c>
      <c r="C34" t="s">
        <v>141</v>
      </c>
      <c r="D34" t="s">
        <v>142</v>
      </c>
      <c r="E34" t="s">
        <v>143</v>
      </c>
      <c r="F34" t="s">
        <v>37</v>
      </c>
      <c r="G34" t="s">
        <v>51</v>
      </c>
      <c r="H34" t="s">
        <v>71</v>
      </c>
      <c r="I34" t="s">
        <v>24</v>
      </c>
      <c r="J34">
        <v>5</v>
      </c>
      <c r="K34">
        <v>28000</v>
      </c>
      <c r="L34">
        <v>2500</v>
      </c>
      <c r="M34" t="s">
        <v>25</v>
      </c>
      <c r="N34" t="s">
        <v>26</v>
      </c>
      <c r="O34">
        <v>23000</v>
      </c>
      <c r="P34">
        <v>140000</v>
      </c>
      <c r="Q34">
        <v>137500</v>
      </c>
      <c r="R34">
        <v>115000</v>
      </c>
      <c r="S34">
        <v>22500</v>
      </c>
      <c r="T34" s="4">
        <v>16.363636363636363</v>
      </c>
    </row>
    <row r="35" spans="1:20" x14ac:dyDescent="0.35">
      <c r="A35" s="2">
        <v>46129</v>
      </c>
      <c r="B35" s="2" t="s">
        <v>323</v>
      </c>
      <c r="C35" t="s">
        <v>144</v>
      </c>
      <c r="D35" t="s">
        <v>145</v>
      </c>
      <c r="E35" t="s">
        <v>146</v>
      </c>
      <c r="F35" t="s">
        <v>44</v>
      </c>
      <c r="G35" t="s">
        <v>22</v>
      </c>
      <c r="H35" t="s">
        <v>57</v>
      </c>
      <c r="I35" t="s">
        <v>58</v>
      </c>
      <c r="J35">
        <v>3</v>
      </c>
      <c r="K35">
        <v>18000</v>
      </c>
      <c r="L35">
        <v>1500</v>
      </c>
      <c r="M35" t="s">
        <v>33</v>
      </c>
      <c r="N35" t="s">
        <v>26</v>
      </c>
      <c r="O35">
        <v>14000</v>
      </c>
      <c r="P35">
        <v>54000</v>
      </c>
      <c r="Q35">
        <v>52500</v>
      </c>
      <c r="R35">
        <v>42000</v>
      </c>
      <c r="S35">
        <v>10500</v>
      </c>
      <c r="T35" s="4">
        <v>20</v>
      </c>
    </row>
    <row r="36" spans="1:20" x14ac:dyDescent="0.35">
      <c r="A36" s="2">
        <v>46130</v>
      </c>
      <c r="B36" s="2" t="s">
        <v>323</v>
      </c>
      <c r="C36" t="s">
        <v>147</v>
      </c>
      <c r="D36" t="s">
        <v>148</v>
      </c>
      <c r="E36" t="s">
        <v>149</v>
      </c>
      <c r="F36" t="s">
        <v>21</v>
      </c>
      <c r="G36" t="s">
        <v>31</v>
      </c>
      <c r="H36" t="s">
        <v>63</v>
      </c>
      <c r="I36" t="s">
        <v>39</v>
      </c>
      <c r="J36">
        <v>10</v>
      </c>
      <c r="K36">
        <v>2500</v>
      </c>
      <c r="L36">
        <v>500</v>
      </c>
      <c r="M36" t="s">
        <v>25</v>
      </c>
      <c r="N36" t="s">
        <v>59</v>
      </c>
      <c r="O36">
        <v>1500</v>
      </c>
      <c r="P36">
        <v>25000</v>
      </c>
      <c r="Q36">
        <v>24500</v>
      </c>
      <c r="R36">
        <v>15000</v>
      </c>
      <c r="S36">
        <v>9500</v>
      </c>
      <c r="T36" s="4">
        <v>38.775510204081634</v>
      </c>
    </row>
    <row r="37" spans="1:20" x14ac:dyDescent="0.35">
      <c r="A37" s="2">
        <v>46130</v>
      </c>
      <c r="B37" s="2" t="s">
        <v>323</v>
      </c>
      <c r="C37" t="s">
        <v>150</v>
      </c>
      <c r="D37" t="s">
        <v>151</v>
      </c>
      <c r="E37" t="s">
        <v>29</v>
      </c>
      <c r="F37" t="s">
        <v>56</v>
      </c>
      <c r="G37" t="s">
        <v>45</v>
      </c>
      <c r="H37" t="s">
        <v>23</v>
      </c>
      <c r="I37" t="s">
        <v>24</v>
      </c>
      <c r="J37">
        <v>1</v>
      </c>
      <c r="K37">
        <v>50000</v>
      </c>
      <c r="L37">
        <v>1000</v>
      </c>
      <c r="M37" t="s">
        <v>52</v>
      </c>
      <c r="N37" t="s">
        <v>26</v>
      </c>
      <c r="O37">
        <v>42000</v>
      </c>
      <c r="P37">
        <v>50000</v>
      </c>
      <c r="Q37">
        <v>49000</v>
      </c>
      <c r="R37">
        <v>42000</v>
      </c>
      <c r="S37">
        <v>7000</v>
      </c>
      <c r="T37" s="4">
        <v>14.285714285714285</v>
      </c>
    </row>
    <row r="38" spans="1:20" x14ac:dyDescent="0.35">
      <c r="A38" s="2">
        <v>46131</v>
      </c>
      <c r="B38" s="2" t="s">
        <v>323</v>
      </c>
      <c r="C38" t="s">
        <v>152</v>
      </c>
      <c r="D38" t="s">
        <v>153</v>
      </c>
      <c r="E38" t="s">
        <v>154</v>
      </c>
      <c r="F38" t="s">
        <v>30</v>
      </c>
      <c r="G38" t="s">
        <v>51</v>
      </c>
      <c r="H38" t="s">
        <v>32</v>
      </c>
      <c r="I38" t="s">
        <v>24</v>
      </c>
      <c r="J38">
        <v>7</v>
      </c>
      <c r="K38">
        <v>12000</v>
      </c>
      <c r="L38">
        <v>1800</v>
      </c>
      <c r="M38" t="s">
        <v>33</v>
      </c>
      <c r="N38" t="s">
        <v>26</v>
      </c>
      <c r="O38">
        <v>9500</v>
      </c>
      <c r="P38">
        <v>84000</v>
      </c>
      <c r="Q38">
        <v>82200</v>
      </c>
      <c r="R38">
        <v>66500</v>
      </c>
      <c r="S38">
        <v>15700</v>
      </c>
      <c r="T38" s="4">
        <v>19.099756690997566</v>
      </c>
    </row>
    <row r="39" spans="1:20" x14ac:dyDescent="0.35">
      <c r="A39" s="2">
        <v>46131</v>
      </c>
      <c r="B39" s="2" t="s">
        <v>323</v>
      </c>
      <c r="C39" t="s">
        <v>155</v>
      </c>
      <c r="D39" t="s">
        <v>156</v>
      </c>
      <c r="E39" t="s">
        <v>157</v>
      </c>
      <c r="F39" t="s">
        <v>37</v>
      </c>
      <c r="G39" t="s">
        <v>22</v>
      </c>
      <c r="H39" t="s">
        <v>38</v>
      </c>
      <c r="I39" t="s">
        <v>39</v>
      </c>
      <c r="J39">
        <v>18</v>
      </c>
      <c r="K39">
        <v>1500</v>
      </c>
      <c r="L39">
        <v>700</v>
      </c>
      <c r="M39" t="s">
        <v>40</v>
      </c>
      <c r="N39" t="s">
        <v>47</v>
      </c>
      <c r="O39">
        <v>900</v>
      </c>
      <c r="P39">
        <v>27000</v>
      </c>
      <c r="Q39">
        <v>26300</v>
      </c>
      <c r="R39">
        <v>16200</v>
      </c>
      <c r="S39">
        <v>10100</v>
      </c>
      <c r="T39" s="4">
        <v>38.403041825095059</v>
      </c>
    </row>
    <row r="40" spans="1:20" x14ac:dyDescent="0.35">
      <c r="A40" s="2">
        <v>46132</v>
      </c>
      <c r="B40" s="2" t="s">
        <v>323</v>
      </c>
      <c r="C40" t="s">
        <v>158</v>
      </c>
      <c r="D40" t="s">
        <v>159</v>
      </c>
      <c r="E40" t="s">
        <v>160</v>
      </c>
      <c r="F40" t="s">
        <v>44</v>
      </c>
      <c r="G40" t="s">
        <v>31</v>
      </c>
      <c r="H40" t="s">
        <v>46</v>
      </c>
      <c r="I40" t="s">
        <v>39</v>
      </c>
      <c r="J40">
        <v>35</v>
      </c>
      <c r="K40">
        <v>800</v>
      </c>
      <c r="L40">
        <v>600</v>
      </c>
      <c r="M40" t="s">
        <v>25</v>
      </c>
      <c r="N40" t="s">
        <v>26</v>
      </c>
      <c r="O40">
        <v>500</v>
      </c>
      <c r="P40">
        <v>28000</v>
      </c>
      <c r="Q40">
        <v>27400</v>
      </c>
      <c r="R40">
        <v>17500</v>
      </c>
      <c r="S40">
        <v>9900</v>
      </c>
      <c r="T40" s="4">
        <v>36.131386861313871</v>
      </c>
    </row>
    <row r="41" spans="1:20" x14ac:dyDescent="0.35">
      <c r="A41" s="2">
        <v>46132</v>
      </c>
      <c r="B41" s="2" t="s">
        <v>323</v>
      </c>
      <c r="C41" t="s">
        <v>161</v>
      </c>
      <c r="D41" t="s">
        <v>162</v>
      </c>
      <c r="E41" t="s">
        <v>163</v>
      </c>
      <c r="F41" t="s">
        <v>21</v>
      </c>
      <c r="G41" t="s">
        <v>45</v>
      </c>
      <c r="H41" t="s">
        <v>67</v>
      </c>
      <c r="I41" t="s">
        <v>24</v>
      </c>
      <c r="J41">
        <v>6</v>
      </c>
      <c r="K41">
        <v>22000</v>
      </c>
      <c r="L41">
        <v>3000</v>
      </c>
      <c r="M41" t="s">
        <v>33</v>
      </c>
      <c r="N41" t="s">
        <v>26</v>
      </c>
      <c r="O41">
        <v>17500</v>
      </c>
      <c r="P41">
        <v>132000</v>
      </c>
      <c r="Q41">
        <v>129000</v>
      </c>
      <c r="R41">
        <v>105000</v>
      </c>
      <c r="S41">
        <v>24000</v>
      </c>
      <c r="T41" s="4">
        <v>18.604651162790699</v>
      </c>
    </row>
    <row r="42" spans="1:20" x14ac:dyDescent="0.35">
      <c r="A42" s="2">
        <v>46133</v>
      </c>
      <c r="B42" s="2" t="s">
        <v>323</v>
      </c>
      <c r="C42" t="s">
        <v>164</v>
      </c>
      <c r="D42" t="s">
        <v>165</v>
      </c>
      <c r="E42" t="s">
        <v>166</v>
      </c>
      <c r="F42" t="s">
        <v>56</v>
      </c>
      <c r="G42" t="s">
        <v>51</v>
      </c>
      <c r="H42" t="s">
        <v>71</v>
      </c>
      <c r="I42" t="s">
        <v>24</v>
      </c>
      <c r="J42">
        <v>3</v>
      </c>
      <c r="K42">
        <v>28000</v>
      </c>
      <c r="L42">
        <v>1500</v>
      </c>
      <c r="M42" t="s">
        <v>52</v>
      </c>
      <c r="N42" t="s">
        <v>59</v>
      </c>
      <c r="O42">
        <v>23000</v>
      </c>
      <c r="P42">
        <v>84000</v>
      </c>
      <c r="Q42">
        <v>82500</v>
      </c>
      <c r="R42">
        <v>69000</v>
      </c>
      <c r="S42">
        <v>13500</v>
      </c>
      <c r="T42" s="4">
        <v>16.363636363636363</v>
      </c>
    </row>
    <row r="43" spans="1:20" x14ac:dyDescent="0.35">
      <c r="A43" s="2">
        <v>46133</v>
      </c>
      <c r="B43" s="2" t="s">
        <v>323</v>
      </c>
      <c r="C43" t="s">
        <v>167</v>
      </c>
      <c r="D43" t="s">
        <v>168</v>
      </c>
      <c r="E43" t="s">
        <v>169</v>
      </c>
      <c r="F43" t="s">
        <v>30</v>
      </c>
      <c r="G43" t="s">
        <v>22</v>
      </c>
      <c r="H43" t="s">
        <v>57</v>
      </c>
      <c r="I43" t="s">
        <v>58</v>
      </c>
      <c r="J43">
        <v>5</v>
      </c>
      <c r="K43">
        <v>18000</v>
      </c>
      <c r="L43">
        <v>2500</v>
      </c>
      <c r="M43" t="s">
        <v>25</v>
      </c>
      <c r="N43" t="s">
        <v>26</v>
      </c>
      <c r="O43">
        <v>14000</v>
      </c>
      <c r="P43">
        <v>90000</v>
      </c>
      <c r="Q43">
        <v>87500</v>
      </c>
      <c r="R43">
        <v>70000</v>
      </c>
      <c r="S43">
        <v>17500</v>
      </c>
      <c r="T43" s="4">
        <v>20</v>
      </c>
    </row>
    <row r="44" spans="1:20" x14ac:dyDescent="0.35">
      <c r="A44" s="2">
        <v>46134</v>
      </c>
      <c r="B44" s="2" t="s">
        <v>323</v>
      </c>
      <c r="C44" t="s">
        <v>170</v>
      </c>
      <c r="D44" t="s">
        <v>171</v>
      </c>
      <c r="E44" t="s">
        <v>172</v>
      </c>
      <c r="F44" t="s">
        <v>37</v>
      </c>
      <c r="G44" t="s">
        <v>31</v>
      </c>
      <c r="H44" t="s">
        <v>23</v>
      </c>
      <c r="I44" t="s">
        <v>24</v>
      </c>
      <c r="J44">
        <v>2</v>
      </c>
      <c r="K44">
        <v>50000</v>
      </c>
      <c r="L44">
        <v>2500</v>
      </c>
      <c r="M44" t="s">
        <v>33</v>
      </c>
      <c r="N44" t="s">
        <v>26</v>
      </c>
      <c r="O44">
        <v>42000</v>
      </c>
      <c r="P44">
        <v>100000</v>
      </c>
      <c r="Q44">
        <v>97500</v>
      </c>
      <c r="R44">
        <v>84000</v>
      </c>
      <c r="S44">
        <v>13500</v>
      </c>
      <c r="T44" s="4">
        <v>13.846153846153847</v>
      </c>
    </row>
    <row r="45" spans="1:20" x14ac:dyDescent="0.35">
      <c r="A45" s="2">
        <v>46134</v>
      </c>
      <c r="B45" s="2" t="s">
        <v>323</v>
      </c>
      <c r="C45" t="s">
        <v>173</v>
      </c>
      <c r="D45" t="s">
        <v>174</v>
      </c>
      <c r="E45" t="s">
        <v>175</v>
      </c>
      <c r="F45" t="s">
        <v>44</v>
      </c>
      <c r="G45" t="s">
        <v>45</v>
      </c>
      <c r="H45" t="s">
        <v>63</v>
      </c>
      <c r="I45" t="s">
        <v>39</v>
      </c>
      <c r="J45">
        <v>20</v>
      </c>
      <c r="K45">
        <v>2500</v>
      </c>
      <c r="L45">
        <v>1000</v>
      </c>
      <c r="M45" t="s">
        <v>40</v>
      </c>
      <c r="N45" t="s">
        <v>47</v>
      </c>
      <c r="O45">
        <v>1500</v>
      </c>
      <c r="P45">
        <v>50000</v>
      </c>
      <c r="Q45">
        <v>49000</v>
      </c>
      <c r="R45">
        <v>30000</v>
      </c>
      <c r="S45">
        <v>19000</v>
      </c>
      <c r="T45" s="4">
        <v>38.775510204081634</v>
      </c>
    </row>
    <row r="46" spans="1:20" x14ac:dyDescent="0.35">
      <c r="A46" s="2">
        <v>46135</v>
      </c>
      <c r="B46" s="2" t="s">
        <v>323</v>
      </c>
      <c r="C46" t="s">
        <v>176</v>
      </c>
      <c r="D46" t="s">
        <v>177</v>
      </c>
      <c r="E46" t="s">
        <v>178</v>
      </c>
      <c r="F46" t="s">
        <v>21</v>
      </c>
      <c r="G46" t="s">
        <v>51</v>
      </c>
      <c r="H46" t="s">
        <v>32</v>
      </c>
      <c r="I46" t="s">
        <v>24</v>
      </c>
      <c r="J46">
        <v>4</v>
      </c>
      <c r="K46">
        <v>12000</v>
      </c>
      <c r="L46">
        <v>800</v>
      </c>
      <c r="M46" t="s">
        <v>25</v>
      </c>
      <c r="N46" t="s">
        <v>26</v>
      </c>
      <c r="O46">
        <v>9500</v>
      </c>
      <c r="P46">
        <v>48000</v>
      </c>
      <c r="Q46">
        <v>47200</v>
      </c>
      <c r="R46">
        <v>38000</v>
      </c>
      <c r="S46">
        <v>9200</v>
      </c>
      <c r="T46" s="4">
        <v>19.491525423728813</v>
      </c>
    </row>
    <row r="47" spans="1:20" x14ac:dyDescent="0.35">
      <c r="A47" s="2">
        <v>46135</v>
      </c>
      <c r="B47" s="2" t="s">
        <v>323</v>
      </c>
      <c r="C47" t="s">
        <v>179</v>
      </c>
      <c r="D47" t="s">
        <v>180</v>
      </c>
      <c r="E47" t="s">
        <v>181</v>
      </c>
      <c r="F47" t="s">
        <v>56</v>
      </c>
      <c r="G47" t="s">
        <v>22</v>
      </c>
      <c r="H47" t="s">
        <v>38</v>
      </c>
      <c r="I47" t="s">
        <v>39</v>
      </c>
      <c r="J47">
        <v>22</v>
      </c>
      <c r="K47">
        <v>1500</v>
      </c>
      <c r="L47">
        <v>900</v>
      </c>
      <c r="M47" t="s">
        <v>52</v>
      </c>
      <c r="N47" t="s">
        <v>26</v>
      </c>
      <c r="O47">
        <v>900</v>
      </c>
      <c r="P47">
        <v>33000</v>
      </c>
      <c r="Q47">
        <v>32100</v>
      </c>
      <c r="R47">
        <v>19800</v>
      </c>
      <c r="S47">
        <v>12300</v>
      </c>
      <c r="T47" s="4">
        <v>38.31775700934579</v>
      </c>
    </row>
    <row r="48" spans="1:20" x14ac:dyDescent="0.35">
      <c r="A48" s="2">
        <v>46136</v>
      </c>
      <c r="B48" s="2" t="s">
        <v>323</v>
      </c>
      <c r="C48" t="s">
        <v>182</v>
      </c>
      <c r="D48" t="s">
        <v>183</v>
      </c>
      <c r="E48" t="s">
        <v>184</v>
      </c>
      <c r="F48" t="s">
        <v>30</v>
      </c>
      <c r="G48" t="s">
        <v>31</v>
      </c>
      <c r="H48" t="s">
        <v>46</v>
      </c>
      <c r="I48" t="s">
        <v>39</v>
      </c>
      <c r="J48">
        <v>50</v>
      </c>
      <c r="K48">
        <v>800</v>
      </c>
      <c r="L48">
        <v>1000</v>
      </c>
      <c r="M48" t="s">
        <v>33</v>
      </c>
      <c r="N48" t="s">
        <v>59</v>
      </c>
      <c r="O48">
        <v>500</v>
      </c>
      <c r="P48">
        <v>40000</v>
      </c>
      <c r="Q48">
        <v>39000</v>
      </c>
      <c r="R48">
        <v>25000</v>
      </c>
      <c r="S48">
        <v>14000</v>
      </c>
      <c r="T48" s="4">
        <v>35.897435897435898</v>
      </c>
    </row>
    <row r="49" spans="1:20" x14ac:dyDescent="0.35">
      <c r="A49" s="2">
        <v>46136</v>
      </c>
      <c r="B49" s="2" t="s">
        <v>323</v>
      </c>
      <c r="C49" t="s">
        <v>185</v>
      </c>
      <c r="D49" t="s">
        <v>186</v>
      </c>
      <c r="E49" t="s">
        <v>187</v>
      </c>
      <c r="F49" t="s">
        <v>37</v>
      </c>
      <c r="G49" t="s">
        <v>45</v>
      </c>
      <c r="H49" t="s">
        <v>67</v>
      </c>
      <c r="I49" t="s">
        <v>24</v>
      </c>
      <c r="J49">
        <v>3</v>
      </c>
      <c r="K49">
        <v>22000</v>
      </c>
      <c r="L49">
        <v>1200</v>
      </c>
      <c r="M49" t="s">
        <v>25</v>
      </c>
      <c r="N49" t="s">
        <v>26</v>
      </c>
      <c r="O49">
        <v>17500</v>
      </c>
      <c r="P49">
        <v>66000</v>
      </c>
      <c r="Q49">
        <v>64800</v>
      </c>
      <c r="R49">
        <v>52500</v>
      </c>
      <c r="S49">
        <v>12300</v>
      </c>
      <c r="T49" s="4">
        <v>18.981481481481481</v>
      </c>
    </row>
    <row r="50" spans="1:20" x14ac:dyDescent="0.35">
      <c r="A50" s="2">
        <v>46137</v>
      </c>
      <c r="B50" s="2" t="s">
        <v>323</v>
      </c>
      <c r="C50" t="s">
        <v>188</v>
      </c>
      <c r="D50" t="s">
        <v>189</v>
      </c>
      <c r="E50" t="s">
        <v>62</v>
      </c>
      <c r="F50" t="s">
        <v>44</v>
      </c>
      <c r="G50" t="s">
        <v>51</v>
      </c>
      <c r="H50" t="s">
        <v>71</v>
      </c>
      <c r="I50" t="s">
        <v>24</v>
      </c>
      <c r="J50">
        <v>8</v>
      </c>
      <c r="K50">
        <v>28000</v>
      </c>
      <c r="L50">
        <v>4000</v>
      </c>
      <c r="M50" t="s">
        <v>52</v>
      </c>
      <c r="N50" t="s">
        <v>26</v>
      </c>
      <c r="O50">
        <v>23000</v>
      </c>
      <c r="P50">
        <v>224000</v>
      </c>
      <c r="Q50">
        <v>220000</v>
      </c>
      <c r="R50">
        <v>184000</v>
      </c>
      <c r="S50">
        <v>36000</v>
      </c>
      <c r="T50" s="4">
        <v>16.363636363636363</v>
      </c>
    </row>
    <row r="51" spans="1:20" x14ac:dyDescent="0.35">
      <c r="A51" s="2">
        <v>46137</v>
      </c>
      <c r="B51" s="2" t="s">
        <v>323</v>
      </c>
      <c r="C51" t="s">
        <v>190</v>
      </c>
      <c r="D51" t="s">
        <v>191</v>
      </c>
      <c r="E51" t="s">
        <v>192</v>
      </c>
      <c r="F51" t="s">
        <v>21</v>
      </c>
      <c r="G51" t="s">
        <v>22</v>
      </c>
      <c r="H51" t="s">
        <v>57</v>
      </c>
      <c r="I51" t="s">
        <v>58</v>
      </c>
      <c r="J51">
        <v>4</v>
      </c>
      <c r="K51">
        <v>18000</v>
      </c>
      <c r="L51">
        <v>2000</v>
      </c>
      <c r="M51" t="s">
        <v>33</v>
      </c>
      <c r="N51" t="s">
        <v>47</v>
      </c>
      <c r="O51">
        <v>14000</v>
      </c>
      <c r="P51">
        <v>72000</v>
      </c>
      <c r="Q51">
        <v>70000</v>
      </c>
      <c r="R51">
        <v>56000</v>
      </c>
      <c r="S51">
        <v>14000</v>
      </c>
      <c r="T51" s="4">
        <v>20</v>
      </c>
    </row>
    <row r="52" spans="1:20" x14ac:dyDescent="0.35">
      <c r="A52" s="2">
        <v>46143</v>
      </c>
      <c r="B52" s="2" t="s">
        <v>324</v>
      </c>
      <c r="C52" t="s">
        <v>204</v>
      </c>
      <c r="D52" t="s">
        <v>205</v>
      </c>
      <c r="E52" t="s">
        <v>206</v>
      </c>
      <c r="F52" t="s">
        <v>30</v>
      </c>
      <c r="G52" t="s">
        <v>31</v>
      </c>
      <c r="H52" t="s">
        <v>23</v>
      </c>
      <c r="I52" t="s">
        <v>24</v>
      </c>
      <c r="J52">
        <v>2</v>
      </c>
      <c r="K52">
        <v>50000</v>
      </c>
      <c r="L52">
        <v>1500</v>
      </c>
      <c r="M52" t="s">
        <v>25</v>
      </c>
      <c r="N52" t="s">
        <v>26</v>
      </c>
      <c r="O52">
        <v>42000</v>
      </c>
      <c r="P52">
        <v>100000</v>
      </c>
      <c r="Q52">
        <v>98500</v>
      </c>
      <c r="R52">
        <v>84000</v>
      </c>
      <c r="S52">
        <v>14500</v>
      </c>
      <c r="T52" s="4">
        <v>14.720812182741117</v>
      </c>
    </row>
    <row r="53" spans="1:20" x14ac:dyDescent="0.35">
      <c r="A53" s="2">
        <v>46143</v>
      </c>
      <c r="B53" s="2" t="s">
        <v>324</v>
      </c>
      <c r="C53" t="s">
        <v>207</v>
      </c>
      <c r="D53" t="s">
        <v>208</v>
      </c>
      <c r="E53" t="s">
        <v>209</v>
      </c>
      <c r="F53" t="s">
        <v>37</v>
      </c>
      <c r="G53" t="s">
        <v>22</v>
      </c>
      <c r="H53" t="s">
        <v>32</v>
      </c>
      <c r="I53" t="s">
        <v>24</v>
      </c>
      <c r="J53">
        <v>4</v>
      </c>
      <c r="K53">
        <v>12000</v>
      </c>
      <c r="L53">
        <v>800</v>
      </c>
      <c r="M53" t="s">
        <v>33</v>
      </c>
      <c r="N53" t="s">
        <v>26</v>
      </c>
      <c r="O53">
        <v>9500</v>
      </c>
      <c r="P53">
        <v>48000</v>
      </c>
      <c r="Q53">
        <v>47200</v>
      </c>
      <c r="R53">
        <v>38000</v>
      </c>
      <c r="S53">
        <v>9200</v>
      </c>
      <c r="T53" s="4">
        <v>19.491525423728813</v>
      </c>
    </row>
    <row r="54" spans="1:20" x14ac:dyDescent="0.35">
      <c r="A54" s="2">
        <v>46144</v>
      </c>
      <c r="B54" s="2" t="s">
        <v>324</v>
      </c>
      <c r="C54" t="s">
        <v>210</v>
      </c>
      <c r="D54" t="s">
        <v>211</v>
      </c>
      <c r="E54" t="s">
        <v>212</v>
      </c>
      <c r="F54" t="s">
        <v>44</v>
      </c>
      <c r="G54" t="s">
        <v>45</v>
      </c>
      <c r="H54" t="s">
        <v>38</v>
      </c>
      <c r="I54" t="s">
        <v>39</v>
      </c>
      <c r="J54">
        <v>12</v>
      </c>
      <c r="K54">
        <v>1500</v>
      </c>
      <c r="L54">
        <v>500</v>
      </c>
      <c r="M54" t="s">
        <v>40</v>
      </c>
      <c r="N54" t="s">
        <v>47</v>
      </c>
      <c r="O54">
        <v>900</v>
      </c>
      <c r="P54">
        <v>18000</v>
      </c>
      <c r="Q54">
        <v>17500</v>
      </c>
      <c r="R54">
        <v>10800</v>
      </c>
      <c r="S54">
        <v>6700</v>
      </c>
      <c r="T54" s="4">
        <v>38.285714285714285</v>
      </c>
    </row>
    <row r="55" spans="1:20" x14ac:dyDescent="0.35">
      <c r="A55" s="2">
        <v>46144</v>
      </c>
      <c r="B55" s="2" t="s">
        <v>324</v>
      </c>
      <c r="C55" t="s">
        <v>213</v>
      </c>
      <c r="D55" t="s">
        <v>214</v>
      </c>
      <c r="E55" t="s">
        <v>215</v>
      </c>
      <c r="F55" t="s">
        <v>21</v>
      </c>
      <c r="G55" t="s">
        <v>51</v>
      </c>
      <c r="H55" t="s">
        <v>46</v>
      </c>
      <c r="I55" t="s">
        <v>39</v>
      </c>
      <c r="J55">
        <v>25</v>
      </c>
      <c r="K55">
        <v>800</v>
      </c>
      <c r="L55">
        <v>400</v>
      </c>
      <c r="M55" t="s">
        <v>25</v>
      </c>
      <c r="N55" t="s">
        <v>26</v>
      </c>
      <c r="O55">
        <v>500</v>
      </c>
      <c r="P55">
        <v>20000</v>
      </c>
      <c r="Q55">
        <v>19600</v>
      </c>
      <c r="R55">
        <v>12500</v>
      </c>
      <c r="S55">
        <v>7100</v>
      </c>
      <c r="T55" s="4">
        <v>36.224489795918366</v>
      </c>
    </row>
    <row r="56" spans="1:20" x14ac:dyDescent="0.35">
      <c r="A56" s="2">
        <v>46145</v>
      </c>
      <c r="B56" s="2" t="s">
        <v>324</v>
      </c>
      <c r="C56" t="s">
        <v>216</v>
      </c>
      <c r="D56" t="s">
        <v>217</v>
      </c>
      <c r="E56" t="s">
        <v>218</v>
      </c>
      <c r="F56" t="s">
        <v>56</v>
      </c>
      <c r="G56" t="s">
        <v>22</v>
      </c>
      <c r="H56" t="s">
        <v>57</v>
      </c>
      <c r="I56" t="s">
        <v>58</v>
      </c>
      <c r="J56">
        <v>3</v>
      </c>
      <c r="K56">
        <v>18000</v>
      </c>
      <c r="L56">
        <v>1200</v>
      </c>
      <c r="M56" t="s">
        <v>52</v>
      </c>
      <c r="N56" t="s">
        <v>59</v>
      </c>
      <c r="O56">
        <v>14000</v>
      </c>
      <c r="P56">
        <v>54000</v>
      </c>
      <c r="Q56">
        <v>52800</v>
      </c>
      <c r="R56">
        <v>42000</v>
      </c>
      <c r="S56">
        <v>10800</v>
      </c>
      <c r="T56" s="4">
        <v>20.454545454545457</v>
      </c>
    </row>
    <row r="57" spans="1:20" x14ac:dyDescent="0.35">
      <c r="A57" s="2">
        <v>46145</v>
      </c>
      <c r="B57" s="2" t="s">
        <v>324</v>
      </c>
      <c r="C57" t="s">
        <v>219</v>
      </c>
      <c r="D57" t="s">
        <v>220</v>
      </c>
      <c r="E57" t="s">
        <v>221</v>
      </c>
      <c r="F57" t="s">
        <v>30</v>
      </c>
      <c r="G57" t="s">
        <v>31</v>
      </c>
      <c r="H57" t="s">
        <v>67</v>
      </c>
      <c r="I57" t="s">
        <v>24</v>
      </c>
      <c r="J57">
        <v>5</v>
      </c>
      <c r="K57">
        <v>22000</v>
      </c>
      <c r="L57">
        <v>2000</v>
      </c>
      <c r="M57" t="s">
        <v>33</v>
      </c>
      <c r="N57" t="s">
        <v>26</v>
      </c>
      <c r="O57">
        <v>17500</v>
      </c>
      <c r="P57">
        <v>110000</v>
      </c>
      <c r="Q57">
        <v>108000</v>
      </c>
      <c r="R57">
        <v>87500</v>
      </c>
      <c r="S57">
        <v>20500</v>
      </c>
      <c r="T57" s="4">
        <v>18.981481481481481</v>
      </c>
    </row>
    <row r="58" spans="1:20" x14ac:dyDescent="0.35">
      <c r="A58" s="2">
        <v>46146</v>
      </c>
      <c r="B58" s="2" t="s">
        <v>324</v>
      </c>
      <c r="C58" t="s">
        <v>222</v>
      </c>
      <c r="D58" t="s">
        <v>223</v>
      </c>
      <c r="E58" t="s">
        <v>187</v>
      </c>
      <c r="F58" t="s">
        <v>37</v>
      </c>
      <c r="G58" t="s">
        <v>45</v>
      </c>
      <c r="H58" t="s">
        <v>63</v>
      </c>
      <c r="I58" t="s">
        <v>39</v>
      </c>
      <c r="J58">
        <v>10</v>
      </c>
      <c r="K58">
        <v>2500</v>
      </c>
      <c r="L58">
        <v>500</v>
      </c>
      <c r="M58" t="s">
        <v>25</v>
      </c>
      <c r="N58" t="s">
        <v>26</v>
      </c>
      <c r="O58">
        <v>1500</v>
      </c>
      <c r="P58">
        <v>25000</v>
      </c>
      <c r="Q58">
        <v>24500</v>
      </c>
      <c r="R58">
        <v>15000</v>
      </c>
      <c r="S58">
        <v>9500</v>
      </c>
      <c r="T58" s="4">
        <v>38.775510204081634</v>
      </c>
    </row>
    <row r="59" spans="1:20" x14ac:dyDescent="0.35">
      <c r="A59" s="2">
        <v>46146</v>
      </c>
      <c r="B59" s="2" t="s">
        <v>324</v>
      </c>
      <c r="C59" t="s">
        <v>224</v>
      </c>
      <c r="D59" t="s">
        <v>225</v>
      </c>
      <c r="E59" t="s">
        <v>226</v>
      </c>
      <c r="F59" t="s">
        <v>44</v>
      </c>
      <c r="G59" t="s">
        <v>51</v>
      </c>
      <c r="H59" t="s">
        <v>71</v>
      </c>
      <c r="I59" t="s">
        <v>24</v>
      </c>
      <c r="J59">
        <v>6</v>
      </c>
      <c r="K59">
        <v>28000</v>
      </c>
      <c r="L59">
        <v>2500</v>
      </c>
      <c r="M59" t="s">
        <v>52</v>
      </c>
      <c r="N59" t="s">
        <v>47</v>
      </c>
      <c r="O59">
        <v>23000</v>
      </c>
      <c r="P59">
        <v>168000</v>
      </c>
      <c r="Q59">
        <v>165500</v>
      </c>
      <c r="R59">
        <v>138000</v>
      </c>
      <c r="S59">
        <v>27500</v>
      </c>
      <c r="T59" s="4">
        <v>16.61631419939577</v>
      </c>
    </row>
    <row r="60" spans="1:20" x14ac:dyDescent="0.35">
      <c r="A60" s="2">
        <v>46147</v>
      </c>
      <c r="B60" s="2" t="s">
        <v>324</v>
      </c>
      <c r="C60" t="s">
        <v>227</v>
      </c>
      <c r="D60" t="s">
        <v>228</v>
      </c>
      <c r="E60" t="s">
        <v>122</v>
      </c>
      <c r="F60" t="s">
        <v>21</v>
      </c>
      <c r="G60" t="s">
        <v>22</v>
      </c>
      <c r="H60" t="s">
        <v>23</v>
      </c>
      <c r="I60" t="s">
        <v>24</v>
      </c>
      <c r="J60">
        <v>3</v>
      </c>
      <c r="K60">
        <v>50000</v>
      </c>
      <c r="L60">
        <v>3000</v>
      </c>
      <c r="M60" t="s">
        <v>33</v>
      </c>
      <c r="N60" t="s">
        <v>26</v>
      </c>
      <c r="O60">
        <v>42000</v>
      </c>
      <c r="P60">
        <v>150000</v>
      </c>
      <c r="Q60">
        <v>147000</v>
      </c>
      <c r="R60">
        <v>126000</v>
      </c>
      <c r="S60">
        <v>21000</v>
      </c>
      <c r="T60" s="4">
        <v>14.285714285714285</v>
      </c>
    </row>
    <row r="61" spans="1:20" x14ac:dyDescent="0.35">
      <c r="A61" s="2">
        <v>46147</v>
      </c>
      <c r="B61" s="2" t="s">
        <v>324</v>
      </c>
      <c r="C61" t="s">
        <v>229</v>
      </c>
      <c r="D61" t="s">
        <v>230</v>
      </c>
      <c r="E61" t="s">
        <v>231</v>
      </c>
      <c r="F61" t="s">
        <v>56</v>
      </c>
      <c r="G61" t="s">
        <v>31</v>
      </c>
      <c r="H61" t="s">
        <v>32</v>
      </c>
      <c r="I61" t="s">
        <v>24</v>
      </c>
      <c r="J61">
        <v>7</v>
      </c>
      <c r="K61">
        <v>12000</v>
      </c>
      <c r="L61">
        <v>1200</v>
      </c>
      <c r="M61" t="s">
        <v>25</v>
      </c>
      <c r="N61" t="s">
        <v>59</v>
      </c>
      <c r="O61">
        <v>9500</v>
      </c>
      <c r="P61">
        <v>84000</v>
      </c>
      <c r="Q61">
        <v>82800</v>
      </c>
      <c r="R61">
        <v>66500</v>
      </c>
      <c r="S61">
        <v>16300</v>
      </c>
      <c r="T61" s="4">
        <v>19.685990338164252</v>
      </c>
    </row>
    <row r="62" spans="1:20" x14ac:dyDescent="0.35">
      <c r="A62" s="2">
        <v>46148</v>
      </c>
      <c r="B62" s="2" t="s">
        <v>324</v>
      </c>
      <c r="C62" t="s">
        <v>232</v>
      </c>
      <c r="D62" t="s">
        <v>19</v>
      </c>
      <c r="E62" t="s">
        <v>20</v>
      </c>
      <c r="F62" t="s">
        <v>30</v>
      </c>
      <c r="G62" t="s">
        <v>22</v>
      </c>
      <c r="H62" t="s">
        <v>38</v>
      </c>
      <c r="I62" t="s">
        <v>39</v>
      </c>
      <c r="J62">
        <v>20</v>
      </c>
      <c r="K62">
        <v>1500</v>
      </c>
      <c r="L62">
        <v>700</v>
      </c>
      <c r="M62" t="s">
        <v>40</v>
      </c>
      <c r="N62" t="s">
        <v>26</v>
      </c>
      <c r="O62">
        <v>900</v>
      </c>
      <c r="P62">
        <v>30000</v>
      </c>
      <c r="Q62">
        <v>29300</v>
      </c>
      <c r="R62">
        <v>18000</v>
      </c>
      <c r="S62">
        <v>11300</v>
      </c>
      <c r="T62" s="4">
        <v>38.56655290102389</v>
      </c>
    </row>
    <row r="63" spans="1:20" x14ac:dyDescent="0.35">
      <c r="A63" s="2">
        <v>46148</v>
      </c>
      <c r="B63" s="2" t="s">
        <v>324</v>
      </c>
      <c r="C63" t="s">
        <v>233</v>
      </c>
      <c r="D63" t="s">
        <v>28</v>
      </c>
      <c r="E63" t="s">
        <v>29</v>
      </c>
      <c r="F63" t="s">
        <v>37</v>
      </c>
      <c r="G63" t="s">
        <v>31</v>
      </c>
      <c r="H63" t="s">
        <v>46</v>
      </c>
      <c r="I63" t="s">
        <v>39</v>
      </c>
      <c r="J63">
        <v>30</v>
      </c>
      <c r="K63">
        <v>800</v>
      </c>
      <c r="L63">
        <v>500</v>
      </c>
      <c r="M63" t="s">
        <v>25</v>
      </c>
      <c r="N63" t="s">
        <v>26</v>
      </c>
      <c r="O63">
        <v>500</v>
      </c>
      <c r="P63">
        <v>24000</v>
      </c>
      <c r="Q63">
        <v>23500</v>
      </c>
      <c r="R63">
        <v>15000</v>
      </c>
      <c r="S63">
        <v>8500</v>
      </c>
      <c r="T63" s="4">
        <v>36.170212765957451</v>
      </c>
    </row>
    <row r="64" spans="1:20" x14ac:dyDescent="0.35">
      <c r="A64" s="2">
        <v>46149</v>
      </c>
      <c r="B64" s="2" t="s">
        <v>324</v>
      </c>
      <c r="C64" t="s">
        <v>234</v>
      </c>
      <c r="D64" t="s">
        <v>35</v>
      </c>
      <c r="E64" t="s">
        <v>36</v>
      </c>
      <c r="F64" t="s">
        <v>44</v>
      </c>
      <c r="G64" t="s">
        <v>45</v>
      </c>
      <c r="H64" t="s">
        <v>23</v>
      </c>
      <c r="I64" t="s">
        <v>24</v>
      </c>
      <c r="J64">
        <v>2</v>
      </c>
      <c r="K64">
        <v>50000</v>
      </c>
      <c r="L64">
        <v>2000</v>
      </c>
      <c r="M64" t="s">
        <v>52</v>
      </c>
      <c r="N64" t="s">
        <v>47</v>
      </c>
      <c r="O64">
        <v>42000</v>
      </c>
      <c r="P64">
        <v>100000</v>
      </c>
      <c r="Q64">
        <v>98000</v>
      </c>
      <c r="R64">
        <v>84000</v>
      </c>
      <c r="S64">
        <v>14000</v>
      </c>
      <c r="T64" s="4">
        <v>14.285714285714285</v>
      </c>
    </row>
    <row r="65" spans="1:20" x14ac:dyDescent="0.35">
      <c r="A65" s="2">
        <v>46149</v>
      </c>
      <c r="B65" s="2" t="s">
        <v>324</v>
      </c>
      <c r="C65" t="s">
        <v>235</v>
      </c>
      <c r="D65" t="s">
        <v>42</v>
      </c>
      <c r="E65" t="s">
        <v>43</v>
      </c>
      <c r="F65" t="s">
        <v>21</v>
      </c>
      <c r="G65" t="s">
        <v>51</v>
      </c>
      <c r="H65" t="s">
        <v>57</v>
      </c>
      <c r="I65" t="s">
        <v>58</v>
      </c>
      <c r="J65">
        <v>4</v>
      </c>
      <c r="K65">
        <v>18000</v>
      </c>
      <c r="L65">
        <v>1800</v>
      </c>
      <c r="M65" t="s">
        <v>33</v>
      </c>
      <c r="N65" t="s">
        <v>26</v>
      </c>
      <c r="O65">
        <v>14000</v>
      </c>
      <c r="P65">
        <v>72000</v>
      </c>
      <c r="Q65">
        <v>70200</v>
      </c>
      <c r="R65">
        <v>56000</v>
      </c>
      <c r="S65">
        <v>14200</v>
      </c>
      <c r="T65" s="4">
        <v>20.227920227920229</v>
      </c>
    </row>
    <row r="66" spans="1:20" x14ac:dyDescent="0.35">
      <c r="A66" s="2">
        <v>46150</v>
      </c>
      <c r="B66" s="2" t="s">
        <v>324</v>
      </c>
      <c r="C66" t="s">
        <v>236</v>
      </c>
      <c r="D66" t="s">
        <v>49</v>
      </c>
      <c r="E66" t="s">
        <v>50</v>
      </c>
      <c r="F66" t="s">
        <v>56</v>
      </c>
      <c r="G66" t="s">
        <v>22</v>
      </c>
      <c r="H66" t="s">
        <v>67</v>
      </c>
      <c r="I66" t="s">
        <v>24</v>
      </c>
      <c r="J66">
        <v>3</v>
      </c>
      <c r="K66">
        <v>22000</v>
      </c>
      <c r="L66">
        <v>1200</v>
      </c>
      <c r="M66" t="s">
        <v>25</v>
      </c>
      <c r="N66" t="s">
        <v>26</v>
      </c>
      <c r="O66">
        <v>17500</v>
      </c>
      <c r="P66">
        <v>66000</v>
      </c>
      <c r="Q66">
        <v>64800</v>
      </c>
      <c r="R66">
        <v>52500</v>
      </c>
      <c r="S66">
        <v>12300</v>
      </c>
      <c r="T66" s="4">
        <v>18.981481481481481</v>
      </c>
    </row>
    <row r="67" spans="1:20" x14ac:dyDescent="0.35">
      <c r="A67" s="2">
        <v>46150</v>
      </c>
      <c r="B67" s="2" t="s">
        <v>324</v>
      </c>
      <c r="C67" t="s">
        <v>237</v>
      </c>
      <c r="D67" t="s">
        <v>54</v>
      </c>
      <c r="E67" t="s">
        <v>55</v>
      </c>
      <c r="F67" t="s">
        <v>30</v>
      </c>
      <c r="G67" t="s">
        <v>31</v>
      </c>
      <c r="H67" t="s">
        <v>63</v>
      </c>
      <c r="I67" t="s">
        <v>39</v>
      </c>
      <c r="J67">
        <v>15</v>
      </c>
      <c r="K67">
        <v>2500</v>
      </c>
      <c r="L67">
        <v>800</v>
      </c>
      <c r="M67" t="s">
        <v>40</v>
      </c>
      <c r="N67" t="s">
        <v>59</v>
      </c>
      <c r="O67">
        <v>1500</v>
      </c>
      <c r="P67">
        <v>37500</v>
      </c>
      <c r="Q67">
        <v>36700</v>
      </c>
      <c r="R67">
        <v>22500</v>
      </c>
      <c r="S67">
        <v>14200</v>
      </c>
      <c r="T67" s="4">
        <v>38.69209809264305</v>
      </c>
    </row>
    <row r="68" spans="1:20" x14ac:dyDescent="0.35">
      <c r="A68" s="2">
        <v>46151</v>
      </c>
      <c r="B68" s="2" t="s">
        <v>324</v>
      </c>
      <c r="C68" t="s">
        <v>238</v>
      </c>
      <c r="D68" t="s">
        <v>61</v>
      </c>
      <c r="E68" t="s">
        <v>62</v>
      </c>
      <c r="F68" t="s">
        <v>37</v>
      </c>
      <c r="G68" t="s">
        <v>45</v>
      </c>
      <c r="H68" t="s">
        <v>71</v>
      </c>
      <c r="I68" t="s">
        <v>24</v>
      </c>
      <c r="J68">
        <v>5</v>
      </c>
      <c r="K68">
        <v>28000</v>
      </c>
      <c r="L68">
        <v>2200</v>
      </c>
      <c r="M68" t="s">
        <v>33</v>
      </c>
      <c r="N68" t="s">
        <v>26</v>
      </c>
      <c r="O68">
        <v>23000</v>
      </c>
      <c r="P68">
        <v>140000</v>
      </c>
      <c r="Q68">
        <v>137800</v>
      </c>
      <c r="R68">
        <v>115000</v>
      </c>
      <c r="S68">
        <v>22800</v>
      </c>
      <c r="T68" s="4">
        <v>16.545718432510885</v>
      </c>
    </row>
    <row r="69" spans="1:20" x14ac:dyDescent="0.35">
      <c r="A69" s="2">
        <v>46151</v>
      </c>
      <c r="B69" s="2" t="s">
        <v>324</v>
      </c>
      <c r="C69" t="s">
        <v>239</v>
      </c>
      <c r="D69" t="s">
        <v>65</v>
      </c>
      <c r="E69" t="s">
        <v>66</v>
      </c>
      <c r="F69" t="s">
        <v>44</v>
      </c>
      <c r="G69" t="s">
        <v>51</v>
      </c>
      <c r="H69" t="s">
        <v>23</v>
      </c>
      <c r="I69" t="s">
        <v>24</v>
      </c>
      <c r="J69">
        <v>1</v>
      </c>
      <c r="K69">
        <v>50000</v>
      </c>
      <c r="L69">
        <v>1000</v>
      </c>
      <c r="M69" t="s">
        <v>25</v>
      </c>
      <c r="N69" t="s">
        <v>26</v>
      </c>
      <c r="O69">
        <v>42000</v>
      </c>
      <c r="P69">
        <v>50000</v>
      </c>
      <c r="Q69">
        <v>49000</v>
      </c>
      <c r="R69">
        <v>42000</v>
      </c>
      <c r="S69">
        <v>7000</v>
      </c>
      <c r="T69" s="4">
        <v>14.285714285714285</v>
      </c>
    </row>
    <row r="70" spans="1:20" x14ac:dyDescent="0.35">
      <c r="A70" s="2">
        <v>46152</v>
      </c>
      <c r="B70" s="2" t="s">
        <v>324</v>
      </c>
      <c r="C70" t="s">
        <v>240</v>
      </c>
      <c r="D70" t="s">
        <v>69</v>
      </c>
      <c r="E70" t="s">
        <v>70</v>
      </c>
      <c r="F70" t="s">
        <v>21</v>
      </c>
      <c r="G70" t="s">
        <v>22</v>
      </c>
      <c r="H70" t="s">
        <v>32</v>
      </c>
      <c r="I70" t="s">
        <v>24</v>
      </c>
      <c r="J70">
        <v>8</v>
      </c>
      <c r="K70">
        <v>12000</v>
      </c>
      <c r="L70">
        <v>1800</v>
      </c>
      <c r="M70" t="s">
        <v>52</v>
      </c>
      <c r="N70" t="s">
        <v>47</v>
      </c>
      <c r="O70">
        <v>9500</v>
      </c>
      <c r="P70">
        <v>96000</v>
      </c>
      <c r="Q70">
        <v>94200</v>
      </c>
      <c r="R70">
        <v>76000</v>
      </c>
      <c r="S70">
        <v>18200</v>
      </c>
      <c r="T70" s="4">
        <v>19.320594479830149</v>
      </c>
    </row>
    <row r="71" spans="1:20" x14ac:dyDescent="0.35">
      <c r="A71" s="2">
        <v>46152</v>
      </c>
      <c r="B71" s="2" t="s">
        <v>324</v>
      </c>
      <c r="C71" t="s">
        <v>241</v>
      </c>
      <c r="D71" t="s">
        <v>73</v>
      </c>
      <c r="E71" t="s">
        <v>74</v>
      </c>
      <c r="F71" t="s">
        <v>56</v>
      </c>
      <c r="G71" t="s">
        <v>31</v>
      </c>
      <c r="H71" t="s">
        <v>57</v>
      </c>
      <c r="I71" t="s">
        <v>58</v>
      </c>
      <c r="J71">
        <v>2</v>
      </c>
      <c r="K71">
        <v>18000</v>
      </c>
      <c r="L71">
        <v>900</v>
      </c>
      <c r="M71" t="s">
        <v>33</v>
      </c>
      <c r="N71" t="s">
        <v>26</v>
      </c>
      <c r="O71">
        <v>14000</v>
      </c>
      <c r="P71">
        <v>36000</v>
      </c>
      <c r="Q71">
        <v>35100</v>
      </c>
      <c r="R71">
        <v>28000</v>
      </c>
      <c r="S71">
        <v>7100</v>
      </c>
      <c r="T71" s="4">
        <v>20.227920227920229</v>
      </c>
    </row>
    <row r="72" spans="1:20" x14ac:dyDescent="0.35">
      <c r="A72" s="2">
        <v>46153</v>
      </c>
      <c r="B72" s="2" t="s">
        <v>324</v>
      </c>
      <c r="C72" t="s">
        <v>242</v>
      </c>
      <c r="D72" t="s">
        <v>76</v>
      </c>
      <c r="E72" t="s">
        <v>77</v>
      </c>
      <c r="F72" t="s">
        <v>30</v>
      </c>
      <c r="G72" t="s">
        <v>45</v>
      </c>
      <c r="H72" t="s">
        <v>38</v>
      </c>
      <c r="I72" t="s">
        <v>39</v>
      </c>
      <c r="J72">
        <v>25</v>
      </c>
      <c r="K72">
        <v>1500</v>
      </c>
      <c r="L72">
        <v>1000</v>
      </c>
      <c r="M72" t="s">
        <v>25</v>
      </c>
      <c r="N72" t="s">
        <v>26</v>
      </c>
      <c r="O72">
        <v>900</v>
      </c>
      <c r="P72">
        <v>37500</v>
      </c>
      <c r="Q72">
        <v>36500</v>
      </c>
      <c r="R72">
        <v>22500</v>
      </c>
      <c r="S72">
        <v>14000</v>
      </c>
      <c r="T72" s="4">
        <v>38.356164383561641</v>
      </c>
    </row>
    <row r="73" spans="1:20" x14ac:dyDescent="0.35">
      <c r="A73" s="2">
        <v>46153</v>
      </c>
      <c r="B73" s="2" t="s">
        <v>324</v>
      </c>
      <c r="C73" t="s">
        <v>243</v>
      </c>
      <c r="D73" t="s">
        <v>79</v>
      </c>
      <c r="E73" t="s">
        <v>80</v>
      </c>
      <c r="F73" t="s">
        <v>37</v>
      </c>
      <c r="G73" t="s">
        <v>51</v>
      </c>
      <c r="H73" t="s">
        <v>46</v>
      </c>
      <c r="I73" t="s">
        <v>39</v>
      </c>
      <c r="J73">
        <v>35</v>
      </c>
      <c r="K73">
        <v>800</v>
      </c>
      <c r="L73">
        <v>600</v>
      </c>
      <c r="M73" t="s">
        <v>40</v>
      </c>
      <c r="N73" t="s">
        <v>59</v>
      </c>
      <c r="O73">
        <v>500</v>
      </c>
      <c r="P73">
        <v>28000</v>
      </c>
      <c r="Q73">
        <v>27400</v>
      </c>
      <c r="R73">
        <v>17500</v>
      </c>
      <c r="S73">
        <v>9900</v>
      </c>
      <c r="T73" s="4">
        <v>36.131386861313871</v>
      </c>
    </row>
    <row r="74" spans="1:20" x14ac:dyDescent="0.35">
      <c r="A74" s="2">
        <v>46154</v>
      </c>
      <c r="B74" s="2" t="s">
        <v>324</v>
      </c>
      <c r="C74" t="s">
        <v>244</v>
      </c>
      <c r="D74" t="s">
        <v>82</v>
      </c>
      <c r="E74" t="s">
        <v>83</v>
      </c>
      <c r="F74" t="s">
        <v>44</v>
      </c>
      <c r="G74" t="s">
        <v>22</v>
      </c>
      <c r="H74" t="s">
        <v>67</v>
      </c>
      <c r="I74" t="s">
        <v>24</v>
      </c>
      <c r="J74">
        <v>4</v>
      </c>
      <c r="K74">
        <v>22000</v>
      </c>
      <c r="L74">
        <v>1600</v>
      </c>
      <c r="M74" t="s">
        <v>52</v>
      </c>
      <c r="N74" t="s">
        <v>26</v>
      </c>
      <c r="O74">
        <v>17500</v>
      </c>
      <c r="P74">
        <v>88000</v>
      </c>
      <c r="Q74">
        <v>86400</v>
      </c>
      <c r="R74">
        <v>70000</v>
      </c>
      <c r="S74">
        <v>16400</v>
      </c>
      <c r="T74" s="4">
        <v>18.981481481481481</v>
      </c>
    </row>
    <row r="75" spans="1:20" x14ac:dyDescent="0.35">
      <c r="A75" s="2">
        <v>46154</v>
      </c>
      <c r="B75" s="2" t="s">
        <v>324</v>
      </c>
      <c r="C75" t="s">
        <v>245</v>
      </c>
      <c r="D75" t="s">
        <v>85</v>
      </c>
      <c r="E75" t="s">
        <v>86</v>
      </c>
      <c r="F75" t="s">
        <v>21</v>
      </c>
      <c r="G75" t="s">
        <v>31</v>
      </c>
      <c r="H75" t="s">
        <v>71</v>
      </c>
      <c r="I75" t="s">
        <v>24</v>
      </c>
      <c r="J75">
        <v>7</v>
      </c>
      <c r="K75">
        <v>28000</v>
      </c>
      <c r="L75">
        <v>3000</v>
      </c>
      <c r="M75" t="s">
        <v>33</v>
      </c>
      <c r="N75" t="s">
        <v>47</v>
      </c>
      <c r="O75">
        <v>23000</v>
      </c>
      <c r="P75">
        <v>196000</v>
      </c>
      <c r="Q75">
        <v>193000</v>
      </c>
      <c r="R75">
        <v>161000</v>
      </c>
      <c r="S75">
        <v>32000</v>
      </c>
      <c r="T75" s="4">
        <v>16.580310880829018</v>
      </c>
    </row>
    <row r="76" spans="1:20" x14ac:dyDescent="0.35">
      <c r="A76" s="2">
        <v>46155</v>
      </c>
      <c r="B76" s="2" t="s">
        <v>324</v>
      </c>
      <c r="C76" t="s">
        <v>246</v>
      </c>
      <c r="D76" t="s">
        <v>88</v>
      </c>
      <c r="E76" t="s">
        <v>89</v>
      </c>
      <c r="F76" t="s">
        <v>56</v>
      </c>
      <c r="G76" t="s">
        <v>45</v>
      </c>
      <c r="H76" t="s">
        <v>63</v>
      </c>
      <c r="I76" t="s">
        <v>39</v>
      </c>
      <c r="J76">
        <v>18</v>
      </c>
      <c r="K76">
        <v>2500</v>
      </c>
      <c r="L76">
        <v>900</v>
      </c>
      <c r="M76" t="s">
        <v>25</v>
      </c>
      <c r="N76" t="s">
        <v>26</v>
      </c>
      <c r="O76">
        <v>1500</v>
      </c>
      <c r="P76">
        <v>45000</v>
      </c>
      <c r="Q76">
        <v>44100</v>
      </c>
      <c r="R76">
        <v>27000</v>
      </c>
      <c r="S76">
        <v>17100</v>
      </c>
      <c r="T76" s="4">
        <v>38.775510204081634</v>
      </c>
    </row>
    <row r="77" spans="1:20" x14ac:dyDescent="0.35">
      <c r="A77" s="2">
        <v>46155</v>
      </c>
      <c r="B77" s="2" t="s">
        <v>324</v>
      </c>
      <c r="C77" t="s">
        <v>247</v>
      </c>
      <c r="D77" t="s">
        <v>91</v>
      </c>
      <c r="E77" t="s">
        <v>92</v>
      </c>
      <c r="F77" t="s">
        <v>30</v>
      </c>
      <c r="G77" t="s">
        <v>51</v>
      </c>
      <c r="H77" t="s">
        <v>23</v>
      </c>
      <c r="I77" t="s">
        <v>24</v>
      </c>
      <c r="J77">
        <v>2</v>
      </c>
      <c r="K77">
        <v>50000</v>
      </c>
      <c r="L77">
        <v>2500</v>
      </c>
      <c r="M77" t="s">
        <v>52</v>
      </c>
      <c r="N77" t="s">
        <v>59</v>
      </c>
      <c r="O77">
        <v>42000</v>
      </c>
      <c r="P77">
        <v>100000</v>
      </c>
      <c r="Q77">
        <v>97500</v>
      </c>
      <c r="R77">
        <v>84000</v>
      </c>
      <c r="S77">
        <v>13500</v>
      </c>
      <c r="T77" s="4">
        <v>13.846153846153847</v>
      </c>
    </row>
    <row r="78" spans="1:20" x14ac:dyDescent="0.35">
      <c r="A78" s="2">
        <v>46156</v>
      </c>
      <c r="B78" s="2" t="s">
        <v>324</v>
      </c>
      <c r="C78" t="s">
        <v>248</v>
      </c>
      <c r="D78" t="s">
        <v>94</v>
      </c>
      <c r="E78" t="s">
        <v>95</v>
      </c>
      <c r="F78" t="s">
        <v>37</v>
      </c>
      <c r="G78" t="s">
        <v>22</v>
      </c>
      <c r="H78" t="s">
        <v>32</v>
      </c>
      <c r="I78" t="s">
        <v>24</v>
      </c>
      <c r="J78">
        <v>5</v>
      </c>
      <c r="K78">
        <v>12000</v>
      </c>
      <c r="L78">
        <v>1000</v>
      </c>
      <c r="M78" t="s">
        <v>33</v>
      </c>
      <c r="N78" t="s">
        <v>26</v>
      </c>
      <c r="O78">
        <v>9500</v>
      </c>
      <c r="P78">
        <v>60000</v>
      </c>
      <c r="Q78">
        <v>59000</v>
      </c>
      <c r="R78">
        <v>47500</v>
      </c>
      <c r="S78">
        <v>11500</v>
      </c>
      <c r="T78" s="4">
        <v>19.491525423728813</v>
      </c>
    </row>
    <row r="79" spans="1:20" x14ac:dyDescent="0.35">
      <c r="A79" s="2">
        <v>46156</v>
      </c>
      <c r="B79" s="2" t="s">
        <v>324</v>
      </c>
      <c r="C79" t="s">
        <v>249</v>
      </c>
      <c r="D79" t="s">
        <v>97</v>
      </c>
      <c r="E79" t="s">
        <v>98</v>
      </c>
      <c r="F79" t="s">
        <v>44</v>
      </c>
      <c r="G79" t="s">
        <v>31</v>
      </c>
      <c r="H79" t="s">
        <v>57</v>
      </c>
      <c r="I79" t="s">
        <v>58</v>
      </c>
      <c r="J79">
        <v>3</v>
      </c>
      <c r="K79">
        <v>18000</v>
      </c>
      <c r="L79">
        <v>1500</v>
      </c>
      <c r="M79" t="s">
        <v>25</v>
      </c>
      <c r="N79" t="s">
        <v>26</v>
      </c>
      <c r="O79">
        <v>14000</v>
      </c>
      <c r="P79">
        <v>54000</v>
      </c>
      <c r="Q79">
        <v>52500</v>
      </c>
      <c r="R79">
        <v>42000</v>
      </c>
      <c r="S79">
        <v>10500</v>
      </c>
      <c r="T79" s="4">
        <v>20</v>
      </c>
    </row>
    <row r="80" spans="1:20" x14ac:dyDescent="0.35">
      <c r="A80" s="2">
        <v>46157</v>
      </c>
      <c r="B80" s="2" t="s">
        <v>324</v>
      </c>
      <c r="C80" t="s">
        <v>250</v>
      </c>
      <c r="D80" t="s">
        <v>100</v>
      </c>
      <c r="E80" t="s">
        <v>101</v>
      </c>
      <c r="F80" t="s">
        <v>21</v>
      </c>
      <c r="G80" t="s">
        <v>45</v>
      </c>
      <c r="H80" t="s">
        <v>38</v>
      </c>
      <c r="I80" t="s">
        <v>39</v>
      </c>
      <c r="J80">
        <v>30</v>
      </c>
      <c r="K80">
        <v>1500</v>
      </c>
      <c r="L80">
        <v>1200</v>
      </c>
      <c r="M80" t="s">
        <v>40</v>
      </c>
      <c r="N80" t="s">
        <v>47</v>
      </c>
      <c r="O80">
        <v>900</v>
      </c>
      <c r="P80">
        <v>45000</v>
      </c>
      <c r="Q80">
        <v>43800</v>
      </c>
      <c r="R80">
        <v>27000</v>
      </c>
      <c r="S80">
        <v>16800</v>
      </c>
      <c r="T80" s="4">
        <v>38.356164383561641</v>
      </c>
    </row>
    <row r="81" spans="1:20" x14ac:dyDescent="0.35">
      <c r="A81" s="2">
        <v>46157</v>
      </c>
      <c r="B81" s="2" t="s">
        <v>324</v>
      </c>
      <c r="C81" t="s">
        <v>251</v>
      </c>
      <c r="D81" t="s">
        <v>103</v>
      </c>
      <c r="E81" t="s">
        <v>104</v>
      </c>
      <c r="F81" t="s">
        <v>56</v>
      </c>
      <c r="G81" t="s">
        <v>51</v>
      </c>
      <c r="H81" t="s">
        <v>46</v>
      </c>
      <c r="I81" t="s">
        <v>39</v>
      </c>
      <c r="J81">
        <v>40</v>
      </c>
      <c r="K81">
        <v>800</v>
      </c>
      <c r="L81">
        <v>700</v>
      </c>
      <c r="M81" t="s">
        <v>33</v>
      </c>
      <c r="N81" t="s">
        <v>26</v>
      </c>
      <c r="O81">
        <v>500</v>
      </c>
      <c r="P81">
        <v>32000</v>
      </c>
      <c r="Q81">
        <v>31300</v>
      </c>
      <c r="R81">
        <v>20000</v>
      </c>
      <c r="S81">
        <v>11300</v>
      </c>
      <c r="T81" s="4">
        <v>36.102236421725244</v>
      </c>
    </row>
    <row r="82" spans="1:20" x14ac:dyDescent="0.35">
      <c r="A82" s="2">
        <v>46158</v>
      </c>
      <c r="B82" s="2" t="s">
        <v>324</v>
      </c>
      <c r="C82" t="s">
        <v>252</v>
      </c>
      <c r="D82" t="s">
        <v>106</v>
      </c>
      <c r="E82" t="s">
        <v>107</v>
      </c>
      <c r="F82" t="s">
        <v>30</v>
      </c>
      <c r="G82" t="s">
        <v>22</v>
      </c>
      <c r="H82" t="s">
        <v>23</v>
      </c>
      <c r="I82" t="s">
        <v>24</v>
      </c>
      <c r="J82">
        <v>3</v>
      </c>
      <c r="K82">
        <v>50000</v>
      </c>
      <c r="L82">
        <v>3500</v>
      </c>
      <c r="M82" t="s">
        <v>25</v>
      </c>
      <c r="N82" t="s">
        <v>26</v>
      </c>
      <c r="O82">
        <v>42000</v>
      </c>
      <c r="P82">
        <v>150000</v>
      </c>
      <c r="Q82">
        <v>146500</v>
      </c>
      <c r="R82">
        <v>126000</v>
      </c>
      <c r="S82">
        <v>20500</v>
      </c>
      <c r="T82" s="4">
        <v>13.993174061433447</v>
      </c>
    </row>
    <row r="83" spans="1:20" x14ac:dyDescent="0.35">
      <c r="A83" s="2">
        <v>46158</v>
      </c>
      <c r="B83" s="2" t="s">
        <v>324</v>
      </c>
      <c r="C83" t="s">
        <v>253</v>
      </c>
      <c r="D83" t="s">
        <v>109</v>
      </c>
      <c r="E83" t="s">
        <v>110</v>
      </c>
      <c r="F83" t="s">
        <v>37</v>
      </c>
      <c r="G83" t="s">
        <v>31</v>
      </c>
      <c r="H83" t="s">
        <v>67</v>
      </c>
      <c r="I83" t="s">
        <v>24</v>
      </c>
      <c r="J83">
        <v>6</v>
      </c>
      <c r="K83">
        <v>22000</v>
      </c>
      <c r="L83">
        <v>2200</v>
      </c>
      <c r="M83" t="s">
        <v>52</v>
      </c>
      <c r="N83" t="s">
        <v>59</v>
      </c>
      <c r="O83">
        <v>17500</v>
      </c>
      <c r="P83">
        <v>132000</v>
      </c>
      <c r="Q83">
        <v>129800</v>
      </c>
      <c r="R83">
        <v>105000</v>
      </c>
      <c r="S83">
        <v>24800</v>
      </c>
      <c r="T83" s="4">
        <v>19.106317411402156</v>
      </c>
    </row>
    <row r="84" spans="1:20" x14ac:dyDescent="0.35">
      <c r="A84" s="2">
        <v>46159</v>
      </c>
      <c r="B84" s="2" t="s">
        <v>324</v>
      </c>
      <c r="C84" t="s">
        <v>254</v>
      </c>
      <c r="D84" t="s">
        <v>112</v>
      </c>
      <c r="E84" t="s">
        <v>113</v>
      </c>
      <c r="F84" t="s">
        <v>44</v>
      </c>
      <c r="G84" t="s">
        <v>45</v>
      </c>
      <c r="H84" t="s">
        <v>71</v>
      </c>
      <c r="I84" t="s">
        <v>24</v>
      </c>
      <c r="J84">
        <v>4</v>
      </c>
      <c r="K84">
        <v>28000</v>
      </c>
      <c r="L84">
        <v>1800</v>
      </c>
      <c r="M84" t="s">
        <v>33</v>
      </c>
      <c r="N84" t="s">
        <v>26</v>
      </c>
      <c r="O84">
        <v>23000</v>
      </c>
      <c r="P84">
        <v>112000</v>
      </c>
      <c r="Q84">
        <v>110200</v>
      </c>
      <c r="R84">
        <v>92000</v>
      </c>
      <c r="S84">
        <v>18200</v>
      </c>
      <c r="T84" s="4">
        <v>16.515426497277677</v>
      </c>
    </row>
    <row r="85" spans="1:20" x14ac:dyDescent="0.35">
      <c r="A85" s="2">
        <v>46159</v>
      </c>
      <c r="B85" s="2" t="s">
        <v>324</v>
      </c>
      <c r="C85" t="s">
        <v>255</v>
      </c>
      <c r="D85" t="s">
        <v>115</v>
      </c>
      <c r="E85" t="s">
        <v>116</v>
      </c>
      <c r="F85" t="s">
        <v>21</v>
      </c>
      <c r="G85" t="s">
        <v>51</v>
      </c>
      <c r="H85" t="s">
        <v>63</v>
      </c>
      <c r="I85" t="s">
        <v>39</v>
      </c>
      <c r="J85">
        <v>20</v>
      </c>
      <c r="K85">
        <v>2500</v>
      </c>
      <c r="L85">
        <v>1000</v>
      </c>
      <c r="M85" t="s">
        <v>25</v>
      </c>
      <c r="N85" t="s">
        <v>47</v>
      </c>
      <c r="O85">
        <v>1500</v>
      </c>
      <c r="P85">
        <v>50000</v>
      </c>
      <c r="Q85">
        <v>49000</v>
      </c>
      <c r="R85">
        <v>30000</v>
      </c>
      <c r="S85">
        <v>19000</v>
      </c>
      <c r="T85" s="4">
        <v>38.775510204081634</v>
      </c>
    </row>
    <row r="86" spans="1:20" x14ac:dyDescent="0.35">
      <c r="A86" s="2">
        <v>46160</v>
      </c>
      <c r="B86" s="2" t="s">
        <v>324</v>
      </c>
      <c r="C86" t="s">
        <v>256</v>
      </c>
      <c r="D86" t="s">
        <v>118</v>
      </c>
      <c r="E86" t="s">
        <v>119</v>
      </c>
      <c r="F86" t="s">
        <v>56</v>
      </c>
      <c r="G86" t="s">
        <v>22</v>
      </c>
      <c r="H86" t="s">
        <v>57</v>
      </c>
      <c r="I86" t="s">
        <v>58</v>
      </c>
      <c r="J86">
        <v>5</v>
      </c>
      <c r="K86">
        <v>18000</v>
      </c>
      <c r="L86">
        <v>2500</v>
      </c>
      <c r="M86" t="s">
        <v>52</v>
      </c>
      <c r="N86" t="s">
        <v>26</v>
      </c>
      <c r="O86">
        <v>14000</v>
      </c>
      <c r="P86">
        <v>90000</v>
      </c>
      <c r="Q86">
        <v>87500</v>
      </c>
      <c r="R86">
        <v>70000</v>
      </c>
      <c r="S86">
        <v>17500</v>
      </c>
      <c r="T86" s="4">
        <v>20</v>
      </c>
    </row>
    <row r="87" spans="1:20" x14ac:dyDescent="0.35">
      <c r="A87" s="2">
        <v>46160</v>
      </c>
      <c r="B87" s="2" t="s">
        <v>324</v>
      </c>
      <c r="C87" t="s">
        <v>257</v>
      </c>
      <c r="D87" t="s">
        <v>121</v>
      </c>
      <c r="E87" t="s">
        <v>122</v>
      </c>
      <c r="F87" t="s">
        <v>30</v>
      </c>
      <c r="G87" t="s">
        <v>31</v>
      </c>
      <c r="H87" t="s">
        <v>32</v>
      </c>
      <c r="I87" t="s">
        <v>24</v>
      </c>
      <c r="J87">
        <v>6</v>
      </c>
      <c r="K87">
        <v>12000</v>
      </c>
      <c r="L87">
        <v>1200</v>
      </c>
      <c r="M87" t="s">
        <v>40</v>
      </c>
      <c r="N87" t="s">
        <v>26</v>
      </c>
      <c r="O87">
        <v>9500</v>
      </c>
      <c r="P87">
        <v>72000</v>
      </c>
      <c r="Q87">
        <v>70800</v>
      </c>
      <c r="R87">
        <v>57000</v>
      </c>
      <c r="S87">
        <v>13800</v>
      </c>
      <c r="T87" s="4">
        <v>19.491525423728813</v>
      </c>
    </row>
    <row r="88" spans="1:20" x14ac:dyDescent="0.35">
      <c r="A88" s="2">
        <v>46161</v>
      </c>
      <c r="B88" s="2" t="s">
        <v>324</v>
      </c>
      <c r="C88" t="s">
        <v>258</v>
      </c>
      <c r="D88" t="s">
        <v>124</v>
      </c>
      <c r="E88" t="s">
        <v>125</v>
      </c>
      <c r="F88" t="s">
        <v>37</v>
      </c>
      <c r="G88" t="s">
        <v>45</v>
      </c>
      <c r="H88" t="s">
        <v>23</v>
      </c>
      <c r="I88" t="s">
        <v>24</v>
      </c>
      <c r="J88">
        <v>2</v>
      </c>
      <c r="K88">
        <v>50000</v>
      </c>
      <c r="L88">
        <v>2000</v>
      </c>
      <c r="M88" t="s">
        <v>33</v>
      </c>
      <c r="N88" t="s">
        <v>59</v>
      </c>
      <c r="O88">
        <v>42000</v>
      </c>
      <c r="P88">
        <v>100000</v>
      </c>
      <c r="Q88">
        <v>98000</v>
      </c>
      <c r="R88">
        <v>84000</v>
      </c>
      <c r="S88">
        <v>14000</v>
      </c>
      <c r="T88" s="4">
        <v>14.285714285714285</v>
      </c>
    </row>
    <row r="89" spans="1:20" x14ac:dyDescent="0.35">
      <c r="A89" s="2">
        <v>46161</v>
      </c>
      <c r="B89" s="2" t="s">
        <v>324</v>
      </c>
      <c r="C89" t="s">
        <v>259</v>
      </c>
      <c r="D89" t="s">
        <v>127</v>
      </c>
      <c r="E89" t="s">
        <v>128</v>
      </c>
      <c r="F89" t="s">
        <v>44</v>
      </c>
      <c r="G89" t="s">
        <v>51</v>
      </c>
      <c r="H89" t="s">
        <v>38</v>
      </c>
      <c r="I89" t="s">
        <v>39</v>
      </c>
      <c r="J89">
        <v>22</v>
      </c>
      <c r="K89">
        <v>1500</v>
      </c>
      <c r="L89">
        <v>800</v>
      </c>
      <c r="M89" t="s">
        <v>25</v>
      </c>
      <c r="N89" t="s">
        <v>26</v>
      </c>
      <c r="O89">
        <v>900</v>
      </c>
      <c r="P89">
        <v>33000</v>
      </c>
      <c r="Q89">
        <v>32200</v>
      </c>
      <c r="R89">
        <v>19800</v>
      </c>
      <c r="S89">
        <v>12400</v>
      </c>
      <c r="T89" s="4">
        <v>38.509316770186338</v>
      </c>
    </row>
    <row r="90" spans="1:20" x14ac:dyDescent="0.35">
      <c r="A90" s="2">
        <v>46162</v>
      </c>
      <c r="B90" s="2" t="s">
        <v>324</v>
      </c>
      <c r="C90" t="s">
        <v>260</v>
      </c>
      <c r="D90" t="s">
        <v>130</v>
      </c>
      <c r="E90" t="s">
        <v>131</v>
      </c>
      <c r="F90" t="s">
        <v>21</v>
      </c>
      <c r="G90" t="s">
        <v>22</v>
      </c>
      <c r="H90" t="s">
        <v>46</v>
      </c>
      <c r="I90" t="s">
        <v>39</v>
      </c>
      <c r="J90">
        <v>45</v>
      </c>
      <c r="K90">
        <v>800</v>
      </c>
      <c r="L90">
        <v>800</v>
      </c>
      <c r="M90" t="s">
        <v>52</v>
      </c>
      <c r="N90" t="s">
        <v>47</v>
      </c>
      <c r="O90">
        <v>500</v>
      </c>
      <c r="P90">
        <v>36000</v>
      </c>
      <c r="Q90">
        <v>35200</v>
      </c>
      <c r="R90">
        <v>22500</v>
      </c>
      <c r="S90">
        <v>12700</v>
      </c>
      <c r="T90" s="4">
        <v>36.079545454545453</v>
      </c>
    </row>
    <row r="91" spans="1:20" x14ac:dyDescent="0.35">
      <c r="A91" s="2">
        <v>46162</v>
      </c>
      <c r="B91" s="2" t="s">
        <v>324</v>
      </c>
      <c r="C91" t="s">
        <v>261</v>
      </c>
      <c r="D91" t="s">
        <v>133</v>
      </c>
      <c r="E91" t="s">
        <v>134</v>
      </c>
      <c r="F91" t="s">
        <v>56</v>
      </c>
      <c r="G91" t="s">
        <v>31</v>
      </c>
      <c r="H91" t="s">
        <v>67</v>
      </c>
      <c r="I91" t="s">
        <v>24</v>
      </c>
      <c r="J91">
        <v>5</v>
      </c>
      <c r="K91">
        <v>22000</v>
      </c>
      <c r="L91">
        <v>2000</v>
      </c>
      <c r="M91" t="s">
        <v>33</v>
      </c>
      <c r="N91" t="s">
        <v>26</v>
      </c>
      <c r="O91">
        <v>17500</v>
      </c>
      <c r="P91">
        <v>110000</v>
      </c>
      <c r="Q91">
        <v>108000</v>
      </c>
      <c r="R91">
        <v>87500</v>
      </c>
      <c r="S91">
        <v>20500</v>
      </c>
      <c r="T91" s="4">
        <v>18.981481481481481</v>
      </c>
    </row>
    <row r="92" spans="1:20" x14ac:dyDescent="0.35">
      <c r="A92" s="2">
        <v>46163</v>
      </c>
      <c r="B92" s="2" t="s">
        <v>324</v>
      </c>
      <c r="C92" t="s">
        <v>262</v>
      </c>
      <c r="D92" t="s">
        <v>136</v>
      </c>
      <c r="E92" t="s">
        <v>137</v>
      </c>
      <c r="F92" t="s">
        <v>30</v>
      </c>
      <c r="G92" t="s">
        <v>45</v>
      </c>
      <c r="H92" t="s">
        <v>71</v>
      </c>
      <c r="I92" t="s">
        <v>24</v>
      </c>
      <c r="J92">
        <v>3</v>
      </c>
      <c r="K92">
        <v>28000</v>
      </c>
      <c r="L92">
        <v>1500</v>
      </c>
      <c r="M92" t="s">
        <v>25</v>
      </c>
      <c r="N92" t="s">
        <v>26</v>
      </c>
      <c r="O92">
        <v>23000</v>
      </c>
      <c r="P92">
        <v>84000</v>
      </c>
      <c r="Q92">
        <v>82500</v>
      </c>
      <c r="R92">
        <v>69000</v>
      </c>
      <c r="S92">
        <v>13500</v>
      </c>
      <c r="T92" s="4">
        <v>16.363636363636363</v>
      </c>
    </row>
    <row r="93" spans="1:20" x14ac:dyDescent="0.35">
      <c r="A93" s="2">
        <v>46163</v>
      </c>
      <c r="B93" s="2" t="s">
        <v>324</v>
      </c>
      <c r="C93" t="s">
        <v>263</v>
      </c>
      <c r="D93" t="s">
        <v>139</v>
      </c>
      <c r="E93" t="s">
        <v>140</v>
      </c>
      <c r="F93" t="s">
        <v>37</v>
      </c>
      <c r="G93" t="s">
        <v>51</v>
      </c>
      <c r="H93" t="s">
        <v>57</v>
      </c>
      <c r="I93" t="s">
        <v>58</v>
      </c>
      <c r="J93">
        <v>4</v>
      </c>
      <c r="K93">
        <v>18000</v>
      </c>
      <c r="L93">
        <v>2000</v>
      </c>
      <c r="M93" t="s">
        <v>40</v>
      </c>
      <c r="N93" t="s">
        <v>59</v>
      </c>
      <c r="O93">
        <v>14000</v>
      </c>
      <c r="P93">
        <v>72000</v>
      </c>
      <c r="Q93">
        <v>70000</v>
      </c>
      <c r="R93">
        <v>56000</v>
      </c>
      <c r="S93">
        <v>14000</v>
      </c>
      <c r="T93" s="4">
        <v>20</v>
      </c>
    </row>
    <row r="94" spans="1:20" x14ac:dyDescent="0.35">
      <c r="A94" s="2">
        <v>46164</v>
      </c>
      <c r="B94" s="2" t="s">
        <v>324</v>
      </c>
      <c r="C94" t="s">
        <v>264</v>
      </c>
      <c r="D94" t="s">
        <v>142</v>
      </c>
      <c r="E94" t="s">
        <v>143</v>
      </c>
      <c r="F94" t="s">
        <v>44</v>
      </c>
      <c r="G94" t="s">
        <v>22</v>
      </c>
      <c r="H94" t="s">
        <v>63</v>
      </c>
      <c r="I94" t="s">
        <v>39</v>
      </c>
      <c r="J94">
        <v>12</v>
      </c>
      <c r="K94">
        <v>2500</v>
      </c>
      <c r="L94">
        <v>600</v>
      </c>
      <c r="M94" t="s">
        <v>52</v>
      </c>
      <c r="N94" t="s">
        <v>26</v>
      </c>
      <c r="O94">
        <v>1500</v>
      </c>
      <c r="P94">
        <v>30000</v>
      </c>
      <c r="Q94">
        <v>29400</v>
      </c>
      <c r="R94">
        <v>18000</v>
      </c>
      <c r="S94">
        <v>11400</v>
      </c>
      <c r="T94" s="4">
        <v>38.775510204081634</v>
      </c>
    </row>
    <row r="95" spans="1:20" x14ac:dyDescent="0.35">
      <c r="A95" s="2">
        <v>46164</v>
      </c>
      <c r="B95" s="2" t="s">
        <v>324</v>
      </c>
      <c r="C95" t="s">
        <v>265</v>
      </c>
      <c r="D95" t="s">
        <v>145</v>
      </c>
      <c r="E95" t="s">
        <v>146</v>
      </c>
      <c r="F95" t="s">
        <v>21</v>
      </c>
      <c r="G95" t="s">
        <v>31</v>
      </c>
      <c r="H95" t="s">
        <v>32</v>
      </c>
      <c r="I95" t="s">
        <v>24</v>
      </c>
      <c r="J95">
        <v>9</v>
      </c>
      <c r="K95">
        <v>12000</v>
      </c>
      <c r="L95">
        <v>2000</v>
      </c>
      <c r="M95" t="s">
        <v>33</v>
      </c>
      <c r="N95" t="s">
        <v>47</v>
      </c>
      <c r="O95">
        <v>9500</v>
      </c>
      <c r="P95">
        <v>108000</v>
      </c>
      <c r="Q95">
        <v>106000</v>
      </c>
      <c r="R95">
        <v>85500</v>
      </c>
      <c r="S95">
        <v>20500</v>
      </c>
      <c r="T95" s="4">
        <v>19.339622641509436</v>
      </c>
    </row>
    <row r="96" spans="1:20" x14ac:dyDescent="0.35">
      <c r="A96" s="2">
        <v>46165</v>
      </c>
      <c r="B96" s="2" t="s">
        <v>324</v>
      </c>
      <c r="C96" t="s">
        <v>266</v>
      </c>
      <c r="D96" t="s">
        <v>148</v>
      </c>
      <c r="E96" t="s">
        <v>149</v>
      </c>
      <c r="F96" t="s">
        <v>56</v>
      </c>
      <c r="G96" t="s">
        <v>45</v>
      </c>
      <c r="H96" t="s">
        <v>23</v>
      </c>
      <c r="I96" t="s">
        <v>24</v>
      </c>
      <c r="J96">
        <v>2</v>
      </c>
      <c r="K96">
        <v>50000</v>
      </c>
      <c r="L96">
        <v>3000</v>
      </c>
      <c r="M96" t="s">
        <v>25</v>
      </c>
      <c r="N96" t="s">
        <v>26</v>
      </c>
      <c r="O96">
        <v>42000</v>
      </c>
      <c r="P96">
        <v>100000</v>
      </c>
      <c r="Q96">
        <v>97000</v>
      </c>
      <c r="R96">
        <v>84000</v>
      </c>
      <c r="S96">
        <v>13000</v>
      </c>
      <c r="T96" s="4">
        <v>13.402061855670103</v>
      </c>
    </row>
    <row r="97" spans="1:20" x14ac:dyDescent="0.35">
      <c r="A97" s="2">
        <v>46165</v>
      </c>
      <c r="B97" s="2" t="s">
        <v>324</v>
      </c>
      <c r="C97" t="s">
        <v>267</v>
      </c>
      <c r="D97" t="s">
        <v>151</v>
      </c>
      <c r="E97" t="s">
        <v>29</v>
      </c>
      <c r="F97" t="s">
        <v>30</v>
      </c>
      <c r="G97" t="s">
        <v>51</v>
      </c>
      <c r="H97" t="s">
        <v>38</v>
      </c>
      <c r="I97" t="s">
        <v>39</v>
      </c>
      <c r="J97">
        <v>28</v>
      </c>
      <c r="K97">
        <v>1500</v>
      </c>
      <c r="L97">
        <v>1100</v>
      </c>
      <c r="M97" t="s">
        <v>40</v>
      </c>
      <c r="N97" t="s">
        <v>26</v>
      </c>
      <c r="O97">
        <v>900</v>
      </c>
      <c r="P97">
        <v>42000</v>
      </c>
      <c r="Q97">
        <v>40900</v>
      </c>
      <c r="R97">
        <v>25200</v>
      </c>
      <c r="S97">
        <v>15700</v>
      </c>
      <c r="T97" s="4">
        <v>38.386308068459655</v>
      </c>
    </row>
    <row r="98" spans="1:20" x14ac:dyDescent="0.35">
      <c r="A98" s="2">
        <v>46166</v>
      </c>
      <c r="B98" s="2" t="s">
        <v>324</v>
      </c>
      <c r="C98" t="s">
        <v>268</v>
      </c>
      <c r="D98" t="s">
        <v>153</v>
      </c>
      <c r="E98" t="s">
        <v>154</v>
      </c>
      <c r="F98" t="s">
        <v>37</v>
      </c>
      <c r="G98" t="s">
        <v>22</v>
      </c>
      <c r="H98" t="s">
        <v>46</v>
      </c>
      <c r="I98" t="s">
        <v>39</v>
      </c>
      <c r="J98">
        <v>50</v>
      </c>
      <c r="K98">
        <v>800</v>
      </c>
      <c r="L98">
        <v>1000</v>
      </c>
      <c r="M98" t="s">
        <v>33</v>
      </c>
      <c r="N98" t="s">
        <v>59</v>
      </c>
      <c r="O98">
        <v>500</v>
      </c>
      <c r="P98">
        <v>40000</v>
      </c>
      <c r="Q98">
        <v>39000</v>
      </c>
      <c r="R98">
        <v>25000</v>
      </c>
      <c r="S98">
        <v>14000</v>
      </c>
      <c r="T98" s="4">
        <v>35.897435897435898</v>
      </c>
    </row>
    <row r="99" spans="1:20" x14ac:dyDescent="0.35">
      <c r="A99" s="2">
        <v>46166</v>
      </c>
      <c r="B99" s="2" t="s">
        <v>324</v>
      </c>
      <c r="C99" t="s">
        <v>269</v>
      </c>
      <c r="D99" t="s">
        <v>156</v>
      </c>
      <c r="E99" t="s">
        <v>157</v>
      </c>
      <c r="F99" t="s">
        <v>44</v>
      </c>
      <c r="G99" t="s">
        <v>31</v>
      </c>
      <c r="H99" t="s">
        <v>67</v>
      </c>
      <c r="I99" t="s">
        <v>24</v>
      </c>
      <c r="J99">
        <v>4</v>
      </c>
      <c r="K99">
        <v>22000</v>
      </c>
      <c r="L99">
        <v>1500</v>
      </c>
      <c r="M99" t="s">
        <v>25</v>
      </c>
      <c r="N99" t="s">
        <v>26</v>
      </c>
      <c r="O99">
        <v>17500</v>
      </c>
      <c r="P99">
        <v>88000</v>
      </c>
      <c r="Q99">
        <v>86500</v>
      </c>
      <c r="R99">
        <v>70000</v>
      </c>
      <c r="S99">
        <v>16500</v>
      </c>
      <c r="T99" s="4">
        <v>19.075144508670519</v>
      </c>
    </row>
    <row r="100" spans="1:20" x14ac:dyDescent="0.35">
      <c r="A100" s="2">
        <v>46167</v>
      </c>
      <c r="B100" s="2" t="s">
        <v>324</v>
      </c>
      <c r="C100" t="s">
        <v>270</v>
      </c>
      <c r="D100" t="s">
        <v>159</v>
      </c>
      <c r="E100" t="s">
        <v>160</v>
      </c>
      <c r="F100" t="s">
        <v>21</v>
      </c>
      <c r="G100" t="s">
        <v>45</v>
      </c>
      <c r="H100" t="s">
        <v>71</v>
      </c>
      <c r="I100" t="s">
        <v>24</v>
      </c>
      <c r="J100">
        <v>6</v>
      </c>
      <c r="K100">
        <v>28000</v>
      </c>
      <c r="L100">
        <v>2500</v>
      </c>
      <c r="M100" t="s">
        <v>52</v>
      </c>
      <c r="N100" t="s">
        <v>26</v>
      </c>
      <c r="O100">
        <v>23000</v>
      </c>
      <c r="P100">
        <v>168000</v>
      </c>
      <c r="Q100">
        <v>165500</v>
      </c>
      <c r="R100">
        <v>138000</v>
      </c>
      <c r="S100">
        <v>27500</v>
      </c>
      <c r="T100" s="4">
        <v>16.61631419939577</v>
      </c>
    </row>
    <row r="101" spans="1:20" x14ac:dyDescent="0.35">
      <c r="A101" s="2">
        <v>46167</v>
      </c>
      <c r="B101" s="2" t="s">
        <v>324</v>
      </c>
      <c r="C101" t="s">
        <v>271</v>
      </c>
      <c r="D101" t="s">
        <v>162</v>
      </c>
      <c r="E101" t="s">
        <v>163</v>
      </c>
      <c r="F101" t="s">
        <v>56</v>
      </c>
      <c r="G101" t="s">
        <v>51</v>
      </c>
      <c r="H101" t="s">
        <v>57</v>
      </c>
      <c r="I101" t="s">
        <v>58</v>
      </c>
      <c r="J101">
        <v>3</v>
      </c>
      <c r="K101">
        <v>18000</v>
      </c>
      <c r="L101">
        <v>1200</v>
      </c>
      <c r="M101" t="s">
        <v>33</v>
      </c>
      <c r="N101" t="s">
        <v>47</v>
      </c>
      <c r="O101">
        <v>14000</v>
      </c>
      <c r="P101">
        <v>54000</v>
      </c>
      <c r="Q101">
        <v>52800</v>
      </c>
      <c r="R101">
        <v>42000</v>
      </c>
      <c r="S101">
        <v>10800</v>
      </c>
      <c r="T101" s="4">
        <v>20.454545454545457</v>
      </c>
    </row>
    <row r="102" spans="1:20" x14ac:dyDescent="0.35">
      <c r="A102" s="2">
        <v>46174</v>
      </c>
      <c r="B102" s="2" t="s">
        <v>325</v>
      </c>
      <c r="C102" t="s">
        <v>272</v>
      </c>
      <c r="D102" t="s">
        <v>165</v>
      </c>
      <c r="E102" t="s">
        <v>166</v>
      </c>
      <c r="F102" t="s">
        <v>30</v>
      </c>
      <c r="G102" t="s">
        <v>22</v>
      </c>
      <c r="H102" t="s">
        <v>23</v>
      </c>
      <c r="I102" t="s">
        <v>24</v>
      </c>
      <c r="J102">
        <v>4</v>
      </c>
      <c r="K102">
        <v>50000</v>
      </c>
      <c r="L102">
        <v>4000</v>
      </c>
      <c r="M102" t="s">
        <v>25</v>
      </c>
      <c r="N102" t="s">
        <v>26</v>
      </c>
      <c r="O102">
        <v>42000</v>
      </c>
      <c r="P102">
        <v>200000</v>
      </c>
      <c r="Q102">
        <v>196000</v>
      </c>
      <c r="R102">
        <v>168000</v>
      </c>
      <c r="S102">
        <v>28000</v>
      </c>
      <c r="T102" s="4">
        <v>14.285714285714285</v>
      </c>
    </row>
    <row r="103" spans="1:20" x14ac:dyDescent="0.35">
      <c r="A103" s="2">
        <v>46174</v>
      </c>
      <c r="B103" s="2" t="s">
        <v>325</v>
      </c>
      <c r="C103" t="s">
        <v>273</v>
      </c>
      <c r="D103" t="s">
        <v>168</v>
      </c>
      <c r="E103" t="s">
        <v>169</v>
      </c>
      <c r="F103" t="s">
        <v>37</v>
      </c>
      <c r="G103" t="s">
        <v>31</v>
      </c>
      <c r="H103" t="s">
        <v>32</v>
      </c>
      <c r="I103" t="s">
        <v>24</v>
      </c>
      <c r="J103">
        <v>6</v>
      </c>
      <c r="K103">
        <v>12000</v>
      </c>
      <c r="L103">
        <v>1200</v>
      </c>
      <c r="M103" t="s">
        <v>52</v>
      </c>
      <c r="N103" t="s">
        <v>26</v>
      </c>
      <c r="O103">
        <v>9500</v>
      </c>
      <c r="P103">
        <v>72000</v>
      </c>
      <c r="Q103">
        <v>70800</v>
      </c>
      <c r="R103">
        <v>57000</v>
      </c>
      <c r="S103">
        <v>13800</v>
      </c>
      <c r="T103" s="4">
        <v>19.491525423728813</v>
      </c>
    </row>
    <row r="104" spans="1:20" x14ac:dyDescent="0.35">
      <c r="A104" s="2">
        <v>46175</v>
      </c>
      <c r="B104" s="2" t="s">
        <v>325</v>
      </c>
      <c r="C104" t="s">
        <v>274</v>
      </c>
      <c r="D104" t="s">
        <v>171</v>
      </c>
      <c r="E104" t="s">
        <v>172</v>
      </c>
      <c r="F104" t="s">
        <v>44</v>
      </c>
      <c r="G104" t="s">
        <v>45</v>
      </c>
      <c r="H104" t="s">
        <v>38</v>
      </c>
      <c r="I104" t="s">
        <v>39</v>
      </c>
      <c r="J104">
        <v>18</v>
      </c>
      <c r="K104">
        <v>1500</v>
      </c>
      <c r="L104">
        <v>700</v>
      </c>
      <c r="M104" t="s">
        <v>33</v>
      </c>
      <c r="N104" t="s">
        <v>59</v>
      </c>
      <c r="O104">
        <v>900</v>
      </c>
      <c r="P104">
        <v>27000</v>
      </c>
      <c r="Q104">
        <v>26300</v>
      </c>
      <c r="R104">
        <v>16200</v>
      </c>
      <c r="S104">
        <v>10100</v>
      </c>
      <c r="T104" s="4">
        <v>38.403041825095059</v>
      </c>
    </row>
    <row r="105" spans="1:20" x14ac:dyDescent="0.35">
      <c r="A105" s="2">
        <v>46175</v>
      </c>
      <c r="B105" s="2" t="s">
        <v>325</v>
      </c>
      <c r="C105" t="s">
        <v>275</v>
      </c>
      <c r="D105" t="s">
        <v>174</v>
      </c>
      <c r="E105" t="s">
        <v>175</v>
      </c>
      <c r="F105" t="s">
        <v>21</v>
      </c>
      <c r="G105" t="s">
        <v>51</v>
      </c>
      <c r="H105" t="s">
        <v>46</v>
      </c>
      <c r="I105" t="s">
        <v>39</v>
      </c>
      <c r="J105">
        <v>32</v>
      </c>
      <c r="K105">
        <v>800</v>
      </c>
      <c r="L105">
        <v>600</v>
      </c>
      <c r="M105" t="s">
        <v>40</v>
      </c>
      <c r="N105" t="s">
        <v>26</v>
      </c>
      <c r="O105">
        <v>500</v>
      </c>
      <c r="P105">
        <v>25600</v>
      </c>
      <c r="Q105">
        <v>25000</v>
      </c>
      <c r="R105">
        <v>16000</v>
      </c>
      <c r="S105">
        <v>9000</v>
      </c>
      <c r="T105" s="4">
        <v>36</v>
      </c>
    </row>
    <row r="106" spans="1:20" x14ac:dyDescent="0.35">
      <c r="A106" s="2">
        <v>46176</v>
      </c>
      <c r="B106" s="2" t="s">
        <v>325</v>
      </c>
      <c r="C106" t="s">
        <v>276</v>
      </c>
      <c r="D106" t="s">
        <v>177</v>
      </c>
      <c r="E106" t="s">
        <v>178</v>
      </c>
      <c r="F106" t="s">
        <v>56</v>
      </c>
      <c r="G106" t="s">
        <v>22</v>
      </c>
      <c r="H106" t="s">
        <v>57</v>
      </c>
      <c r="I106" t="s">
        <v>58</v>
      </c>
      <c r="J106">
        <v>4</v>
      </c>
      <c r="K106">
        <v>18000</v>
      </c>
      <c r="L106">
        <v>1600</v>
      </c>
      <c r="M106" t="s">
        <v>25</v>
      </c>
      <c r="N106" t="s">
        <v>47</v>
      </c>
      <c r="O106">
        <v>14000</v>
      </c>
      <c r="P106">
        <v>72000</v>
      </c>
      <c r="Q106">
        <v>70400</v>
      </c>
      <c r="R106">
        <v>56000</v>
      </c>
      <c r="S106">
        <v>14400</v>
      </c>
      <c r="T106" s="4">
        <v>20.454545454545457</v>
      </c>
    </row>
    <row r="107" spans="1:20" x14ac:dyDescent="0.35">
      <c r="A107" s="2">
        <v>46176</v>
      </c>
      <c r="B107" s="2" t="s">
        <v>325</v>
      </c>
      <c r="C107" t="s">
        <v>277</v>
      </c>
      <c r="D107" t="s">
        <v>180</v>
      </c>
      <c r="E107" t="s">
        <v>181</v>
      </c>
      <c r="F107" t="s">
        <v>30</v>
      </c>
      <c r="G107" t="s">
        <v>31</v>
      </c>
      <c r="H107" t="s">
        <v>67</v>
      </c>
      <c r="I107" t="s">
        <v>24</v>
      </c>
      <c r="J107">
        <v>5</v>
      </c>
      <c r="K107">
        <v>22000</v>
      </c>
      <c r="L107">
        <v>2000</v>
      </c>
      <c r="M107" t="s">
        <v>33</v>
      </c>
      <c r="N107" t="s">
        <v>26</v>
      </c>
      <c r="O107">
        <v>17500</v>
      </c>
      <c r="P107">
        <v>110000</v>
      </c>
      <c r="Q107">
        <v>108000</v>
      </c>
      <c r="R107">
        <v>87500</v>
      </c>
      <c r="S107">
        <v>20500</v>
      </c>
      <c r="T107" s="4">
        <v>18.981481481481481</v>
      </c>
    </row>
    <row r="108" spans="1:20" x14ac:dyDescent="0.35">
      <c r="A108" s="2">
        <v>46177</v>
      </c>
      <c r="B108" s="2" t="s">
        <v>325</v>
      </c>
      <c r="C108" t="s">
        <v>278</v>
      </c>
      <c r="D108" t="s">
        <v>183</v>
      </c>
      <c r="E108" t="s">
        <v>184</v>
      </c>
      <c r="F108" t="s">
        <v>37</v>
      </c>
      <c r="G108" t="s">
        <v>45</v>
      </c>
      <c r="H108" t="s">
        <v>63</v>
      </c>
      <c r="I108" t="s">
        <v>39</v>
      </c>
      <c r="J108">
        <v>16</v>
      </c>
      <c r="K108">
        <v>2500</v>
      </c>
      <c r="L108">
        <v>700</v>
      </c>
      <c r="M108" t="s">
        <v>52</v>
      </c>
      <c r="N108" t="s">
        <v>59</v>
      </c>
      <c r="O108">
        <v>1500</v>
      </c>
      <c r="P108">
        <v>40000</v>
      </c>
      <c r="Q108">
        <v>39300</v>
      </c>
      <c r="R108">
        <v>24000</v>
      </c>
      <c r="S108">
        <v>15300</v>
      </c>
      <c r="T108" s="4">
        <v>38.931297709923662</v>
      </c>
    </row>
    <row r="109" spans="1:20" x14ac:dyDescent="0.35">
      <c r="A109" s="2">
        <v>46177</v>
      </c>
      <c r="B109" s="2" t="s">
        <v>325</v>
      </c>
      <c r="C109" t="s">
        <v>279</v>
      </c>
      <c r="D109" t="s">
        <v>186</v>
      </c>
      <c r="E109" t="s">
        <v>187</v>
      </c>
      <c r="F109" t="s">
        <v>44</v>
      </c>
      <c r="G109" t="s">
        <v>51</v>
      </c>
      <c r="H109" t="s">
        <v>71</v>
      </c>
      <c r="I109" t="s">
        <v>24</v>
      </c>
      <c r="J109">
        <v>8</v>
      </c>
      <c r="K109">
        <v>28000</v>
      </c>
      <c r="L109">
        <v>3500</v>
      </c>
      <c r="M109" t="s">
        <v>25</v>
      </c>
      <c r="N109" t="s">
        <v>26</v>
      </c>
      <c r="O109">
        <v>23000</v>
      </c>
      <c r="P109">
        <v>224000</v>
      </c>
      <c r="Q109">
        <v>220500</v>
      </c>
      <c r="R109">
        <v>184000</v>
      </c>
      <c r="S109">
        <v>36500</v>
      </c>
      <c r="T109" s="4">
        <v>16.553287981859409</v>
      </c>
    </row>
    <row r="110" spans="1:20" x14ac:dyDescent="0.35">
      <c r="A110" s="2">
        <v>46178</v>
      </c>
      <c r="B110" s="2" t="s">
        <v>325</v>
      </c>
      <c r="C110" t="s">
        <v>280</v>
      </c>
      <c r="D110" t="s">
        <v>189</v>
      </c>
      <c r="E110" t="s">
        <v>62</v>
      </c>
      <c r="F110" t="s">
        <v>21</v>
      </c>
      <c r="G110" t="s">
        <v>22</v>
      </c>
      <c r="H110" t="s">
        <v>23</v>
      </c>
      <c r="I110" t="s">
        <v>24</v>
      </c>
      <c r="J110">
        <v>2</v>
      </c>
      <c r="K110">
        <v>50000</v>
      </c>
      <c r="L110">
        <v>2000</v>
      </c>
      <c r="M110" t="s">
        <v>33</v>
      </c>
      <c r="N110" t="s">
        <v>26</v>
      </c>
      <c r="O110">
        <v>42000</v>
      </c>
      <c r="P110">
        <v>100000</v>
      </c>
      <c r="Q110">
        <v>98000</v>
      </c>
      <c r="R110">
        <v>84000</v>
      </c>
      <c r="S110">
        <v>14000</v>
      </c>
      <c r="T110" s="4">
        <v>14.285714285714285</v>
      </c>
    </row>
    <row r="111" spans="1:20" x14ac:dyDescent="0.35">
      <c r="A111" s="2">
        <v>46178</v>
      </c>
      <c r="B111" s="2" t="s">
        <v>325</v>
      </c>
      <c r="C111" t="s">
        <v>281</v>
      </c>
      <c r="D111" t="s">
        <v>191</v>
      </c>
      <c r="E111" t="s">
        <v>192</v>
      </c>
      <c r="F111" t="s">
        <v>56</v>
      </c>
      <c r="G111" t="s">
        <v>31</v>
      </c>
      <c r="H111" t="s">
        <v>32</v>
      </c>
      <c r="I111" t="s">
        <v>24</v>
      </c>
      <c r="J111">
        <v>10</v>
      </c>
      <c r="K111">
        <v>12000</v>
      </c>
      <c r="L111">
        <v>2000</v>
      </c>
      <c r="M111" t="s">
        <v>40</v>
      </c>
      <c r="N111" t="s">
        <v>47</v>
      </c>
      <c r="O111">
        <v>9500</v>
      </c>
      <c r="P111">
        <v>120000</v>
      </c>
      <c r="Q111">
        <v>118000</v>
      </c>
      <c r="R111">
        <v>95000</v>
      </c>
      <c r="S111">
        <v>23000</v>
      </c>
      <c r="T111" s="4">
        <v>19.491525423728813</v>
      </c>
    </row>
    <row r="112" spans="1:20" x14ac:dyDescent="0.35">
      <c r="A112" s="2">
        <v>46179</v>
      </c>
      <c r="B112" s="2" t="s">
        <v>325</v>
      </c>
      <c r="C112" t="s">
        <v>282</v>
      </c>
      <c r="D112" t="s">
        <v>205</v>
      </c>
      <c r="E112" t="s">
        <v>206</v>
      </c>
      <c r="F112" t="s">
        <v>30</v>
      </c>
      <c r="G112" t="s">
        <v>45</v>
      </c>
      <c r="H112" t="s">
        <v>57</v>
      </c>
      <c r="I112" t="s">
        <v>58</v>
      </c>
      <c r="J112">
        <v>3</v>
      </c>
      <c r="K112">
        <v>18000</v>
      </c>
      <c r="L112">
        <v>1000</v>
      </c>
      <c r="M112" t="s">
        <v>52</v>
      </c>
      <c r="N112" t="s">
        <v>26</v>
      </c>
      <c r="O112">
        <v>14000</v>
      </c>
      <c r="P112">
        <v>54000</v>
      </c>
      <c r="Q112">
        <v>53000</v>
      </c>
      <c r="R112">
        <v>42000</v>
      </c>
      <c r="S112">
        <v>11000</v>
      </c>
      <c r="T112" s="4">
        <v>20.754716981132077</v>
      </c>
    </row>
    <row r="113" spans="1:20" x14ac:dyDescent="0.35">
      <c r="A113" s="2">
        <v>46179</v>
      </c>
      <c r="B113" s="2" t="s">
        <v>325</v>
      </c>
      <c r="C113" t="s">
        <v>283</v>
      </c>
      <c r="D113" t="s">
        <v>208</v>
      </c>
      <c r="E113" t="s">
        <v>209</v>
      </c>
      <c r="F113" t="s">
        <v>37</v>
      </c>
      <c r="G113" t="s">
        <v>51</v>
      </c>
      <c r="H113" t="s">
        <v>38</v>
      </c>
      <c r="I113" t="s">
        <v>39</v>
      </c>
      <c r="J113">
        <v>24</v>
      </c>
      <c r="K113">
        <v>1500</v>
      </c>
      <c r="L113">
        <v>900</v>
      </c>
      <c r="M113" t="s">
        <v>25</v>
      </c>
      <c r="N113" t="s">
        <v>59</v>
      </c>
      <c r="O113">
        <v>900</v>
      </c>
      <c r="P113">
        <v>36000</v>
      </c>
      <c r="Q113">
        <v>35100</v>
      </c>
      <c r="R113">
        <v>21600</v>
      </c>
      <c r="S113">
        <v>13500</v>
      </c>
      <c r="T113" s="4">
        <v>38.461538461538467</v>
      </c>
    </row>
    <row r="114" spans="1:20" x14ac:dyDescent="0.35">
      <c r="A114" s="2">
        <v>46180</v>
      </c>
      <c r="B114" s="2" t="s">
        <v>325</v>
      </c>
      <c r="C114" t="s">
        <v>284</v>
      </c>
      <c r="D114" t="s">
        <v>211</v>
      </c>
      <c r="E114" t="s">
        <v>212</v>
      </c>
      <c r="F114" t="s">
        <v>44</v>
      </c>
      <c r="G114" t="s">
        <v>22</v>
      </c>
      <c r="H114" t="s">
        <v>46</v>
      </c>
      <c r="I114" t="s">
        <v>39</v>
      </c>
      <c r="J114">
        <v>45</v>
      </c>
      <c r="K114">
        <v>800</v>
      </c>
      <c r="L114">
        <v>900</v>
      </c>
      <c r="M114" t="s">
        <v>33</v>
      </c>
      <c r="N114" t="s">
        <v>26</v>
      </c>
      <c r="O114">
        <v>500</v>
      </c>
      <c r="P114">
        <v>36000</v>
      </c>
      <c r="Q114">
        <v>35100</v>
      </c>
      <c r="R114">
        <v>22500</v>
      </c>
      <c r="S114">
        <v>12600</v>
      </c>
      <c r="T114" s="4">
        <v>35.897435897435898</v>
      </c>
    </row>
    <row r="115" spans="1:20" x14ac:dyDescent="0.35">
      <c r="A115" s="2">
        <v>46180</v>
      </c>
      <c r="B115" s="2" t="s">
        <v>325</v>
      </c>
      <c r="C115" t="s">
        <v>285</v>
      </c>
      <c r="D115" t="s">
        <v>214</v>
      </c>
      <c r="E115" t="s">
        <v>215</v>
      </c>
      <c r="F115" t="s">
        <v>21</v>
      </c>
      <c r="G115" t="s">
        <v>31</v>
      </c>
      <c r="H115" t="s">
        <v>67</v>
      </c>
      <c r="I115" t="s">
        <v>24</v>
      </c>
      <c r="J115">
        <v>6</v>
      </c>
      <c r="K115">
        <v>22000</v>
      </c>
      <c r="L115">
        <v>2500</v>
      </c>
      <c r="M115" t="s">
        <v>40</v>
      </c>
      <c r="N115" t="s">
        <v>26</v>
      </c>
      <c r="O115">
        <v>17500</v>
      </c>
      <c r="P115">
        <v>132000</v>
      </c>
      <c r="Q115">
        <v>129500</v>
      </c>
      <c r="R115">
        <v>105000</v>
      </c>
      <c r="S115">
        <v>24500</v>
      </c>
      <c r="T115" s="4">
        <v>18.918918918918919</v>
      </c>
    </row>
    <row r="116" spans="1:20" x14ac:dyDescent="0.35">
      <c r="A116" s="2">
        <v>46181</v>
      </c>
      <c r="B116" s="2" t="s">
        <v>325</v>
      </c>
      <c r="C116" t="s">
        <v>286</v>
      </c>
      <c r="D116" t="s">
        <v>217</v>
      </c>
      <c r="E116" t="s">
        <v>218</v>
      </c>
      <c r="F116" t="s">
        <v>56</v>
      </c>
      <c r="G116" t="s">
        <v>45</v>
      </c>
      <c r="H116" t="s">
        <v>71</v>
      </c>
      <c r="I116" t="s">
        <v>24</v>
      </c>
      <c r="J116">
        <v>5</v>
      </c>
      <c r="K116">
        <v>28000</v>
      </c>
      <c r="L116">
        <v>2000</v>
      </c>
      <c r="M116" t="s">
        <v>52</v>
      </c>
      <c r="N116" t="s">
        <v>47</v>
      </c>
      <c r="O116">
        <v>23000</v>
      </c>
      <c r="P116">
        <v>140000</v>
      </c>
      <c r="Q116">
        <v>138000</v>
      </c>
      <c r="R116">
        <v>115000</v>
      </c>
      <c r="S116">
        <v>23000</v>
      </c>
      <c r="T116" s="4">
        <v>16.666666666666664</v>
      </c>
    </row>
    <row r="117" spans="1:20" x14ac:dyDescent="0.35">
      <c r="A117" s="2">
        <v>46181</v>
      </c>
      <c r="B117" s="2" t="s">
        <v>325</v>
      </c>
      <c r="C117" t="s">
        <v>287</v>
      </c>
      <c r="D117" t="s">
        <v>220</v>
      </c>
      <c r="E117" t="s">
        <v>221</v>
      </c>
      <c r="F117" t="s">
        <v>30</v>
      </c>
      <c r="G117" t="s">
        <v>51</v>
      </c>
      <c r="H117" t="s">
        <v>63</v>
      </c>
      <c r="I117" t="s">
        <v>39</v>
      </c>
      <c r="J117">
        <v>20</v>
      </c>
      <c r="K117">
        <v>2500</v>
      </c>
      <c r="L117">
        <v>1000</v>
      </c>
      <c r="M117" t="s">
        <v>25</v>
      </c>
      <c r="N117" t="s">
        <v>26</v>
      </c>
      <c r="O117">
        <v>1500</v>
      </c>
      <c r="P117">
        <v>50000</v>
      </c>
      <c r="Q117">
        <v>49000</v>
      </c>
      <c r="R117">
        <v>30000</v>
      </c>
      <c r="S117">
        <v>19000</v>
      </c>
      <c r="T117" s="4">
        <v>38.775510204081634</v>
      </c>
    </row>
    <row r="118" spans="1:20" x14ac:dyDescent="0.35">
      <c r="A118" s="2">
        <v>46182</v>
      </c>
      <c r="B118" s="2" t="s">
        <v>325</v>
      </c>
      <c r="C118" t="s">
        <v>288</v>
      </c>
      <c r="D118" t="s">
        <v>223</v>
      </c>
      <c r="E118" t="s">
        <v>187</v>
      </c>
      <c r="F118" t="s">
        <v>37</v>
      </c>
      <c r="G118" t="s">
        <v>22</v>
      </c>
      <c r="H118" t="s">
        <v>23</v>
      </c>
      <c r="I118" t="s">
        <v>24</v>
      </c>
      <c r="J118">
        <v>3</v>
      </c>
      <c r="K118">
        <v>50000</v>
      </c>
      <c r="L118">
        <v>3000</v>
      </c>
      <c r="M118" t="s">
        <v>33</v>
      </c>
      <c r="N118" t="s">
        <v>59</v>
      </c>
      <c r="O118">
        <v>42000</v>
      </c>
      <c r="P118">
        <v>150000</v>
      </c>
      <c r="Q118">
        <v>147000</v>
      </c>
      <c r="R118">
        <v>126000</v>
      </c>
      <c r="S118">
        <v>21000</v>
      </c>
      <c r="T118" s="4">
        <v>14.285714285714285</v>
      </c>
    </row>
    <row r="119" spans="1:20" x14ac:dyDescent="0.35">
      <c r="A119" s="2">
        <v>46182</v>
      </c>
      <c r="B119" s="2" t="s">
        <v>325</v>
      </c>
      <c r="C119" t="s">
        <v>289</v>
      </c>
      <c r="D119" t="s">
        <v>225</v>
      </c>
      <c r="E119" t="s">
        <v>226</v>
      </c>
      <c r="F119" t="s">
        <v>44</v>
      </c>
      <c r="G119" t="s">
        <v>31</v>
      </c>
      <c r="H119" t="s">
        <v>32</v>
      </c>
      <c r="I119" t="s">
        <v>24</v>
      </c>
      <c r="J119">
        <v>7</v>
      </c>
      <c r="K119">
        <v>12000</v>
      </c>
      <c r="L119">
        <v>1400</v>
      </c>
      <c r="M119" t="s">
        <v>52</v>
      </c>
      <c r="N119" t="s">
        <v>26</v>
      </c>
      <c r="O119">
        <v>9500</v>
      </c>
      <c r="P119">
        <v>84000</v>
      </c>
      <c r="Q119">
        <v>82600</v>
      </c>
      <c r="R119">
        <v>66500</v>
      </c>
      <c r="S119">
        <v>16100</v>
      </c>
      <c r="T119" s="4">
        <v>19.491525423728813</v>
      </c>
    </row>
    <row r="120" spans="1:20" x14ac:dyDescent="0.35">
      <c r="A120" s="2">
        <v>46183</v>
      </c>
      <c r="B120" s="2" t="s">
        <v>325</v>
      </c>
      <c r="C120" t="s">
        <v>290</v>
      </c>
      <c r="D120" t="s">
        <v>228</v>
      </c>
      <c r="E120" t="s">
        <v>122</v>
      </c>
      <c r="F120" t="s">
        <v>21</v>
      </c>
      <c r="G120" t="s">
        <v>45</v>
      </c>
      <c r="H120" t="s">
        <v>57</v>
      </c>
      <c r="I120" t="s">
        <v>58</v>
      </c>
      <c r="J120">
        <v>5</v>
      </c>
      <c r="K120">
        <v>18000</v>
      </c>
      <c r="L120">
        <v>2200</v>
      </c>
      <c r="M120" t="s">
        <v>25</v>
      </c>
      <c r="N120" t="s">
        <v>26</v>
      </c>
      <c r="O120">
        <v>14000</v>
      </c>
      <c r="P120">
        <v>90000</v>
      </c>
      <c r="Q120">
        <v>87800</v>
      </c>
      <c r="R120">
        <v>70000</v>
      </c>
      <c r="S120">
        <v>17800</v>
      </c>
      <c r="T120" s="4">
        <v>20.273348519362187</v>
      </c>
    </row>
    <row r="121" spans="1:20" x14ac:dyDescent="0.35">
      <c r="A121" s="2">
        <v>46183</v>
      </c>
      <c r="B121" s="2" t="s">
        <v>325</v>
      </c>
      <c r="C121" t="s">
        <v>291</v>
      </c>
      <c r="D121" t="s">
        <v>230</v>
      </c>
      <c r="E121" t="s">
        <v>231</v>
      </c>
      <c r="F121" t="s">
        <v>56</v>
      </c>
      <c r="G121" t="s">
        <v>51</v>
      </c>
      <c r="H121" t="s">
        <v>38</v>
      </c>
      <c r="I121" t="s">
        <v>39</v>
      </c>
      <c r="J121">
        <v>30</v>
      </c>
      <c r="K121">
        <v>1500</v>
      </c>
      <c r="L121">
        <v>1200</v>
      </c>
      <c r="M121" t="s">
        <v>40</v>
      </c>
      <c r="N121" t="s">
        <v>47</v>
      </c>
      <c r="O121">
        <v>900</v>
      </c>
      <c r="P121">
        <v>45000</v>
      </c>
      <c r="Q121">
        <v>43800</v>
      </c>
      <c r="R121">
        <v>27000</v>
      </c>
      <c r="S121">
        <v>16800</v>
      </c>
      <c r="T121" s="4">
        <v>38.356164383561641</v>
      </c>
    </row>
    <row r="122" spans="1:20" x14ac:dyDescent="0.35">
      <c r="A122" s="2">
        <v>46184</v>
      </c>
      <c r="B122" s="2" t="s">
        <v>325</v>
      </c>
      <c r="C122" t="s">
        <v>292</v>
      </c>
      <c r="D122" t="s">
        <v>19</v>
      </c>
      <c r="E122" t="s">
        <v>20</v>
      </c>
      <c r="F122" t="s">
        <v>30</v>
      </c>
      <c r="G122" t="s">
        <v>22</v>
      </c>
      <c r="H122" t="s">
        <v>46</v>
      </c>
      <c r="I122" t="s">
        <v>39</v>
      </c>
      <c r="J122">
        <v>55</v>
      </c>
      <c r="K122">
        <v>800</v>
      </c>
      <c r="L122">
        <v>1100</v>
      </c>
      <c r="M122" t="s">
        <v>33</v>
      </c>
      <c r="N122" t="s">
        <v>26</v>
      </c>
      <c r="O122">
        <v>500</v>
      </c>
      <c r="P122">
        <v>44000</v>
      </c>
      <c r="Q122">
        <v>42900</v>
      </c>
      <c r="R122">
        <v>27500</v>
      </c>
      <c r="S122">
        <v>15400</v>
      </c>
      <c r="T122" s="4">
        <v>35.897435897435898</v>
      </c>
    </row>
    <row r="123" spans="1:20" x14ac:dyDescent="0.35">
      <c r="A123" s="2">
        <v>46184</v>
      </c>
      <c r="B123" s="2" t="s">
        <v>325</v>
      </c>
      <c r="C123" t="s">
        <v>293</v>
      </c>
      <c r="D123" t="s">
        <v>28</v>
      </c>
      <c r="E123" t="s">
        <v>29</v>
      </c>
      <c r="F123" t="s">
        <v>37</v>
      </c>
      <c r="G123" t="s">
        <v>31</v>
      </c>
      <c r="H123" t="s">
        <v>67</v>
      </c>
      <c r="I123" t="s">
        <v>24</v>
      </c>
      <c r="J123">
        <v>4</v>
      </c>
      <c r="K123">
        <v>22000</v>
      </c>
      <c r="L123">
        <v>1400</v>
      </c>
      <c r="M123" t="s">
        <v>25</v>
      </c>
      <c r="N123" t="s">
        <v>59</v>
      </c>
      <c r="O123">
        <v>17500</v>
      </c>
      <c r="P123">
        <v>88000</v>
      </c>
      <c r="Q123">
        <v>86600</v>
      </c>
      <c r="R123">
        <v>70000</v>
      </c>
      <c r="S123">
        <v>16600</v>
      </c>
      <c r="T123" s="4">
        <v>19.168591224018474</v>
      </c>
    </row>
    <row r="124" spans="1:20" x14ac:dyDescent="0.35">
      <c r="A124" s="2">
        <v>46185</v>
      </c>
      <c r="B124" s="2" t="s">
        <v>325</v>
      </c>
      <c r="C124" t="s">
        <v>294</v>
      </c>
      <c r="D124" t="s">
        <v>35</v>
      </c>
      <c r="E124" t="s">
        <v>36</v>
      </c>
      <c r="F124" t="s">
        <v>44</v>
      </c>
      <c r="G124" t="s">
        <v>45</v>
      </c>
      <c r="H124" t="s">
        <v>71</v>
      </c>
      <c r="I124" t="s">
        <v>24</v>
      </c>
      <c r="J124">
        <v>6</v>
      </c>
      <c r="K124">
        <v>28000</v>
      </c>
      <c r="L124">
        <v>2500</v>
      </c>
      <c r="M124" t="s">
        <v>52</v>
      </c>
      <c r="N124" t="s">
        <v>26</v>
      </c>
      <c r="O124">
        <v>23000</v>
      </c>
      <c r="P124">
        <v>168000</v>
      </c>
      <c r="Q124">
        <v>165500</v>
      </c>
      <c r="R124">
        <v>138000</v>
      </c>
      <c r="S124">
        <v>27500</v>
      </c>
      <c r="T124" s="4">
        <v>16.61631419939577</v>
      </c>
    </row>
    <row r="125" spans="1:20" x14ac:dyDescent="0.35">
      <c r="A125" s="2">
        <v>46185</v>
      </c>
      <c r="B125" s="2" t="s">
        <v>325</v>
      </c>
      <c r="C125" t="s">
        <v>295</v>
      </c>
      <c r="D125" t="s">
        <v>42</v>
      </c>
      <c r="E125" t="s">
        <v>43</v>
      </c>
      <c r="F125" t="s">
        <v>21</v>
      </c>
      <c r="G125" t="s">
        <v>51</v>
      </c>
      <c r="H125" t="s">
        <v>23</v>
      </c>
      <c r="I125" t="s">
        <v>24</v>
      </c>
      <c r="J125">
        <v>2</v>
      </c>
      <c r="K125">
        <v>50000</v>
      </c>
      <c r="L125">
        <v>2000</v>
      </c>
      <c r="M125" t="s">
        <v>33</v>
      </c>
      <c r="N125" t="s">
        <v>47</v>
      </c>
      <c r="O125">
        <v>42000</v>
      </c>
      <c r="P125">
        <v>100000</v>
      </c>
      <c r="Q125">
        <v>98000</v>
      </c>
      <c r="R125">
        <v>84000</v>
      </c>
      <c r="S125">
        <v>14000</v>
      </c>
      <c r="T125" s="4">
        <v>14.285714285714285</v>
      </c>
    </row>
    <row r="126" spans="1:20" x14ac:dyDescent="0.35">
      <c r="A126" s="2">
        <v>46186</v>
      </c>
      <c r="B126" s="2" t="s">
        <v>325</v>
      </c>
      <c r="C126" t="s">
        <v>296</v>
      </c>
      <c r="D126" t="s">
        <v>49</v>
      </c>
      <c r="E126" t="s">
        <v>50</v>
      </c>
      <c r="F126" t="s">
        <v>56</v>
      </c>
      <c r="G126" t="s">
        <v>22</v>
      </c>
      <c r="H126" t="s">
        <v>32</v>
      </c>
      <c r="I126" t="s">
        <v>24</v>
      </c>
      <c r="J126">
        <v>8</v>
      </c>
      <c r="K126">
        <v>12000</v>
      </c>
      <c r="L126">
        <v>1600</v>
      </c>
      <c r="M126" t="s">
        <v>25</v>
      </c>
      <c r="N126" t="s">
        <v>26</v>
      </c>
      <c r="O126">
        <v>9500</v>
      </c>
      <c r="P126">
        <v>96000</v>
      </c>
      <c r="Q126">
        <v>94400</v>
      </c>
      <c r="R126">
        <v>76000</v>
      </c>
      <c r="S126">
        <v>18400</v>
      </c>
      <c r="T126" s="4">
        <v>19.491525423728813</v>
      </c>
    </row>
    <row r="127" spans="1:20" x14ac:dyDescent="0.35">
      <c r="A127" s="2">
        <v>46186</v>
      </c>
      <c r="B127" s="2" t="s">
        <v>325</v>
      </c>
      <c r="C127" t="s">
        <v>297</v>
      </c>
      <c r="D127" t="s">
        <v>54</v>
      </c>
      <c r="E127" t="s">
        <v>55</v>
      </c>
      <c r="F127" t="s">
        <v>30</v>
      </c>
      <c r="G127" t="s">
        <v>31</v>
      </c>
      <c r="H127" t="s">
        <v>57</v>
      </c>
      <c r="I127" t="s">
        <v>58</v>
      </c>
      <c r="J127">
        <v>4</v>
      </c>
      <c r="K127">
        <v>18000</v>
      </c>
      <c r="L127">
        <v>1800</v>
      </c>
      <c r="M127" t="s">
        <v>40</v>
      </c>
      <c r="N127" t="s">
        <v>26</v>
      </c>
      <c r="O127">
        <v>14000</v>
      </c>
      <c r="P127">
        <v>72000</v>
      </c>
      <c r="Q127">
        <v>70200</v>
      </c>
      <c r="R127">
        <v>56000</v>
      </c>
      <c r="S127">
        <v>14200</v>
      </c>
      <c r="T127" s="4">
        <v>20.227920227920229</v>
      </c>
    </row>
    <row r="128" spans="1:20" x14ac:dyDescent="0.35">
      <c r="A128" s="2">
        <v>46187</v>
      </c>
      <c r="B128" s="2" t="s">
        <v>325</v>
      </c>
      <c r="C128" t="s">
        <v>298</v>
      </c>
      <c r="D128" t="s">
        <v>61</v>
      </c>
      <c r="E128" t="s">
        <v>62</v>
      </c>
      <c r="F128" t="s">
        <v>37</v>
      </c>
      <c r="G128" t="s">
        <v>45</v>
      </c>
      <c r="H128" t="s">
        <v>63</v>
      </c>
      <c r="I128" t="s">
        <v>39</v>
      </c>
      <c r="J128">
        <v>14</v>
      </c>
      <c r="K128">
        <v>2500</v>
      </c>
      <c r="L128">
        <v>600</v>
      </c>
      <c r="M128" t="s">
        <v>52</v>
      </c>
      <c r="N128" t="s">
        <v>59</v>
      </c>
      <c r="O128">
        <v>1500</v>
      </c>
      <c r="P128">
        <v>35000</v>
      </c>
      <c r="Q128">
        <v>34400</v>
      </c>
      <c r="R128">
        <v>21000</v>
      </c>
      <c r="S128">
        <v>13400</v>
      </c>
      <c r="T128" s="4">
        <v>38.953488372093027</v>
      </c>
    </row>
    <row r="129" spans="1:20" x14ac:dyDescent="0.35">
      <c r="A129" s="2">
        <v>46187</v>
      </c>
      <c r="B129" s="2" t="s">
        <v>325</v>
      </c>
      <c r="C129" t="s">
        <v>299</v>
      </c>
      <c r="D129" t="s">
        <v>65</v>
      </c>
      <c r="E129" t="s">
        <v>66</v>
      </c>
      <c r="F129" t="s">
        <v>44</v>
      </c>
      <c r="G129" t="s">
        <v>51</v>
      </c>
      <c r="H129" t="s">
        <v>38</v>
      </c>
      <c r="I129" t="s">
        <v>39</v>
      </c>
      <c r="J129">
        <v>35</v>
      </c>
      <c r="K129">
        <v>1500</v>
      </c>
      <c r="L129">
        <v>1200</v>
      </c>
      <c r="M129" t="s">
        <v>33</v>
      </c>
      <c r="N129" t="s">
        <v>26</v>
      </c>
      <c r="O129">
        <v>900</v>
      </c>
      <c r="P129">
        <v>52500</v>
      </c>
      <c r="Q129">
        <v>51300</v>
      </c>
      <c r="R129">
        <v>31500</v>
      </c>
      <c r="S129">
        <v>19800</v>
      </c>
      <c r="T129" s="4">
        <v>38.596491228070171</v>
      </c>
    </row>
    <row r="130" spans="1:20" x14ac:dyDescent="0.35">
      <c r="A130" s="2">
        <v>46188</v>
      </c>
      <c r="B130" s="2" t="s">
        <v>325</v>
      </c>
      <c r="C130" t="s">
        <v>300</v>
      </c>
      <c r="D130" t="s">
        <v>69</v>
      </c>
      <c r="E130" t="s">
        <v>70</v>
      </c>
      <c r="F130" t="s">
        <v>21</v>
      </c>
      <c r="G130" t="s">
        <v>22</v>
      </c>
      <c r="H130" t="s">
        <v>46</v>
      </c>
      <c r="I130" t="s">
        <v>39</v>
      </c>
      <c r="J130">
        <v>60</v>
      </c>
      <c r="K130">
        <v>800</v>
      </c>
      <c r="L130">
        <v>1200</v>
      </c>
      <c r="M130" t="s">
        <v>25</v>
      </c>
      <c r="N130" t="s">
        <v>26</v>
      </c>
      <c r="O130">
        <v>500</v>
      </c>
      <c r="P130">
        <v>48000</v>
      </c>
      <c r="Q130">
        <v>46800</v>
      </c>
      <c r="R130">
        <v>30000</v>
      </c>
      <c r="S130">
        <v>16800</v>
      </c>
      <c r="T130" s="4">
        <v>35.897435897435898</v>
      </c>
    </row>
    <row r="131" spans="1:20" x14ac:dyDescent="0.35">
      <c r="A131" s="2">
        <v>46188</v>
      </c>
      <c r="B131" s="2" t="s">
        <v>325</v>
      </c>
      <c r="C131" t="s">
        <v>301</v>
      </c>
      <c r="D131" t="s">
        <v>73</v>
      </c>
      <c r="E131" t="s">
        <v>74</v>
      </c>
      <c r="F131" t="s">
        <v>56</v>
      </c>
      <c r="G131" t="s">
        <v>31</v>
      </c>
      <c r="H131" t="s">
        <v>71</v>
      </c>
      <c r="I131" t="s">
        <v>24</v>
      </c>
      <c r="J131">
        <v>5</v>
      </c>
      <c r="K131">
        <v>28000</v>
      </c>
      <c r="L131">
        <v>2000</v>
      </c>
      <c r="M131" t="s">
        <v>52</v>
      </c>
      <c r="N131" t="s">
        <v>47</v>
      </c>
      <c r="O131">
        <v>23000</v>
      </c>
      <c r="P131">
        <v>140000</v>
      </c>
      <c r="Q131">
        <v>138000</v>
      </c>
      <c r="R131">
        <v>115000</v>
      </c>
      <c r="S131">
        <v>23000</v>
      </c>
      <c r="T131" s="4">
        <v>16.666666666666664</v>
      </c>
    </row>
    <row r="132" spans="1:20" x14ac:dyDescent="0.35">
      <c r="A132" s="2">
        <v>46188</v>
      </c>
      <c r="B132" s="2" t="s">
        <v>325</v>
      </c>
      <c r="C132" t="s">
        <v>302</v>
      </c>
      <c r="D132" t="s">
        <v>76</v>
      </c>
      <c r="E132" t="s">
        <v>77</v>
      </c>
      <c r="F132" t="s">
        <v>30</v>
      </c>
      <c r="G132" t="s">
        <v>45</v>
      </c>
      <c r="H132" t="s">
        <v>23</v>
      </c>
      <c r="I132" t="s">
        <v>24</v>
      </c>
      <c r="J132">
        <v>3</v>
      </c>
      <c r="K132">
        <v>50000</v>
      </c>
      <c r="L132">
        <v>3500</v>
      </c>
      <c r="M132" t="s">
        <v>33</v>
      </c>
      <c r="N132" t="s">
        <v>26</v>
      </c>
      <c r="O132">
        <v>42000</v>
      </c>
      <c r="P132">
        <v>150000</v>
      </c>
      <c r="Q132">
        <v>146500</v>
      </c>
      <c r="R132">
        <v>126000</v>
      </c>
      <c r="S132">
        <v>20500</v>
      </c>
      <c r="T132" s="4">
        <v>13.993174061433447</v>
      </c>
    </row>
    <row r="133" spans="1:20" x14ac:dyDescent="0.35">
      <c r="A133" s="2">
        <v>46189</v>
      </c>
      <c r="B133" s="2" t="s">
        <v>325</v>
      </c>
      <c r="C133" t="s">
        <v>303</v>
      </c>
      <c r="D133" t="s">
        <v>79</v>
      </c>
      <c r="E133" t="s">
        <v>80</v>
      </c>
      <c r="F133" t="s">
        <v>37</v>
      </c>
      <c r="G133" t="s">
        <v>51</v>
      </c>
      <c r="H133" t="s">
        <v>67</v>
      </c>
      <c r="I133" t="s">
        <v>24</v>
      </c>
      <c r="J133">
        <v>7</v>
      </c>
      <c r="K133">
        <v>22000</v>
      </c>
      <c r="L133">
        <v>2800</v>
      </c>
      <c r="M133" t="s">
        <v>40</v>
      </c>
      <c r="N133" t="s">
        <v>59</v>
      </c>
      <c r="O133">
        <v>17500</v>
      </c>
      <c r="P133">
        <v>154000</v>
      </c>
      <c r="Q133">
        <v>151200</v>
      </c>
      <c r="R133">
        <v>122500</v>
      </c>
      <c r="S133">
        <v>28700</v>
      </c>
      <c r="T133" s="4">
        <v>18.981481481481481</v>
      </c>
    </row>
    <row r="134" spans="1:20" x14ac:dyDescent="0.35">
      <c r="A134" s="2">
        <v>46189</v>
      </c>
      <c r="B134" s="2" t="s">
        <v>325</v>
      </c>
      <c r="C134" t="s">
        <v>304</v>
      </c>
      <c r="D134" t="s">
        <v>82</v>
      </c>
      <c r="E134" t="s">
        <v>83</v>
      </c>
      <c r="F134" t="s">
        <v>44</v>
      </c>
      <c r="G134" t="s">
        <v>22</v>
      </c>
      <c r="H134" t="s">
        <v>57</v>
      </c>
      <c r="I134" t="s">
        <v>58</v>
      </c>
      <c r="J134">
        <v>3</v>
      </c>
      <c r="K134">
        <v>18000</v>
      </c>
      <c r="L134">
        <v>1000</v>
      </c>
      <c r="M134" t="s">
        <v>25</v>
      </c>
      <c r="N134" t="s">
        <v>26</v>
      </c>
      <c r="O134">
        <v>14000</v>
      </c>
      <c r="P134">
        <v>54000</v>
      </c>
      <c r="Q134">
        <v>53000</v>
      </c>
      <c r="R134">
        <v>42000</v>
      </c>
      <c r="S134">
        <v>11000</v>
      </c>
      <c r="T134" s="4">
        <v>20.754716981132077</v>
      </c>
    </row>
    <row r="135" spans="1:20" x14ac:dyDescent="0.35">
      <c r="A135" s="2">
        <v>46190</v>
      </c>
      <c r="B135" s="2" t="s">
        <v>325</v>
      </c>
      <c r="C135" t="s">
        <v>305</v>
      </c>
      <c r="D135" t="s">
        <v>85</v>
      </c>
      <c r="E135" t="s">
        <v>86</v>
      </c>
      <c r="F135" t="s">
        <v>21</v>
      </c>
      <c r="G135" t="s">
        <v>31</v>
      </c>
      <c r="H135" t="s">
        <v>32</v>
      </c>
      <c r="I135" t="s">
        <v>24</v>
      </c>
      <c r="J135">
        <v>9</v>
      </c>
      <c r="K135">
        <v>12000</v>
      </c>
      <c r="L135">
        <v>1800</v>
      </c>
      <c r="M135" t="s">
        <v>52</v>
      </c>
      <c r="N135" t="s">
        <v>26</v>
      </c>
      <c r="O135">
        <v>9500</v>
      </c>
      <c r="P135">
        <v>108000</v>
      </c>
      <c r="Q135">
        <v>106200</v>
      </c>
      <c r="R135">
        <v>85500</v>
      </c>
      <c r="S135">
        <v>20700</v>
      </c>
      <c r="T135" s="4">
        <v>19.491525423728813</v>
      </c>
    </row>
    <row r="136" spans="1:20" x14ac:dyDescent="0.35">
      <c r="A136" s="2">
        <v>46190</v>
      </c>
      <c r="B136" s="2" t="s">
        <v>325</v>
      </c>
      <c r="C136" t="s">
        <v>306</v>
      </c>
      <c r="D136" t="s">
        <v>88</v>
      </c>
      <c r="E136" t="s">
        <v>89</v>
      </c>
      <c r="F136" t="s">
        <v>56</v>
      </c>
      <c r="G136" t="s">
        <v>45</v>
      </c>
      <c r="H136" t="s">
        <v>38</v>
      </c>
      <c r="I136" t="s">
        <v>39</v>
      </c>
      <c r="J136">
        <v>20</v>
      </c>
      <c r="K136">
        <v>1500</v>
      </c>
      <c r="L136">
        <v>700</v>
      </c>
      <c r="M136" t="s">
        <v>33</v>
      </c>
      <c r="N136" t="s">
        <v>47</v>
      </c>
      <c r="O136">
        <v>900</v>
      </c>
      <c r="P136">
        <v>30000</v>
      </c>
      <c r="Q136">
        <v>29300</v>
      </c>
      <c r="R136">
        <v>18000</v>
      </c>
      <c r="S136">
        <v>11300</v>
      </c>
      <c r="T136" s="4">
        <v>38.56655290102389</v>
      </c>
    </row>
    <row r="137" spans="1:20" x14ac:dyDescent="0.35">
      <c r="A137" s="2">
        <v>46191</v>
      </c>
      <c r="B137" s="2" t="s">
        <v>325</v>
      </c>
      <c r="C137" t="s">
        <v>307</v>
      </c>
      <c r="D137" t="s">
        <v>91</v>
      </c>
      <c r="E137" t="s">
        <v>92</v>
      </c>
      <c r="F137" t="s">
        <v>30</v>
      </c>
      <c r="G137" t="s">
        <v>51</v>
      </c>
      <c r="H137" t="s">
        <v>46</v>
      </c>
      <c r="I137" t="s">
        <v>39</v>
      </c>
      <c r="J137">
        <v>40</v>
      </c>
      <c r="K137">
        <v>800</v>
      </c>
      <c r="L137">
        <v>800</v>
      </c>
      <c r="M137" t="s">
        <v>25</v>
      </c>
      <c r="N137" t="s">
        <v>26</v>
      </c>
      <c r="O137">
        <v>500</v>
      </c>
      <c r="P137">
        <v>32000</v>
      </c>
      <c r="Q137">
        <v>31200</v>
      </c>
      <c r="R137">
        <v>20000</v>
      </c>
      <c r="S137">
        <v>11200</v>
      </c>
      <c r="T137" s="4">
        <v>35.897435897435898</v>
      </c>
    </row>
    <row r="138" spans="1:20" x14ac:dyDescent="0.35">
      <c r="A138" s="2">
        <v>46191</v>
      </c>
      <c r="B138" s="2" t="s">
        <v>325</v>
      </c>
      <c r="C138" t="s">
        <v>308</v>
      </c>
      <c r="D138" t="s">
        <v>94</v>
      </c>
      <c r="E138" t="s">
        <v>95</v>
      </c>
      <c r="F138" t="s">
        <v>37</v>
      </c>
      <c r="G138" t="s">
        <v>22</v>
      </c>
      <c r="H138" t="s">
        <v>67</v>
      </c>
      <c r="I138" t="s">
        <v>24</v>
      </c>
      <c r="J138">
        <v>5</v>
      </c>
      <c r="K138">
        <v>22000</v>
      </c>
      <c r="L138">
        <v>2000</v>
      </c>
      <c r="M138" t="s">
        <v>40</v>
      </c>
      <c r="N138" t="s">
        <v>59</v>
      </c>
      <c r="O138">
        <v>17500</v>
      </c>
      <c r="P138">
        <v>110000</v>
      </c>
      <c r="Q138">
        <v>108000</v>
      </c>
      <c r="R138">
        <v>87500</v>
      </c>
      <c r="S138">
        <v>20500</v>
      </c>
      <c r="T138" s="4">
        <v>18.981481481481481</v>
      </c>
    </row>
    <row r="139" spans="1:20" x14ac:dyDescent="0.35">
      <c r="A139" s="2">
        <v>46192</v>
      </c>
      <c r="B139" s="2" t="s">
        <v>325</v>
      </c>
      <c r="C139" t="s">
        <v>309</v>
      </c>
      <c r="D139" t="s">
        <v>97</v>
      </c>
      <c r="E139" t="s">
        <v>98</v>
      </c>
      <c r="F139" t="s">
        <v>44</v>
      </c>
      <c r="G139" t="s">
        <v>31</v>
      </c>
      <c r="H139" t="s">
        <v>71</v>
      </c>
      <c r="I139" t="s">
        <v>24</v>
      </c>
      <c r="J139">
        <v>4</v>
      </c>
      <c r="K139">
        <v>28000</v>
      </c>
      <c r="L139">
        <v>1800</v>
      </c>
      <c r="M139" t="s">
        <v>33</v>
      </c>
      <c r="N139" t="s">
        <v>26</v>
      </c>
      <c r="O139">
        <v>23000</v>
      </c>
      <c r="P139">
        <v>112000</v>
      </c>
      <c r="Q139">
        <v>110200</v>
      </c>
      <c r="R139">
        <v>92000</v>
      </c>
      <c r="S139">
        <v>18200</v>
      </c>
      <c r="T139" s="4">
        <v>16.515426497277677</v>
      </c>
    </row>
    <row r="140" spans="1:20" x14ac:dyDescent="0.35">
      <c r="A140" s="2">
        <v>46192</v>
      </c>
      <c r="B140" s="2" t="s">
        <v>325</v>
      </c>
      <c r="C140" t="s">
        <v>310</v>
      </c>
      <c r="D140" t="s">
        <v>100</v>
      </c>
      <c r="E140" t="s">
        <v>101</v>
      </c>
      <c r="F140" t="s">
        <v>21</v>
      </c>
      <c r="G140" t="s">
        <v>45</v>
      </c>
      <c r="H140" t="s">
        <v>63</v>
      </c>
      <c r="I140" t="s">
        <v>39</v>
      </c>
      <c r="J140">
        <v>25</v>
      </c>
      <c r="K140">
        <v>2500</v>
      </c>
      <c r="L140">
        <v>1000</v>
      </c>
      <c r="M140" t="s">
        <v>52</v>
      </c>
      <c r="N140" t="s">
        <v>47</v>
      </c>
      <c r="O140">
        <v>1500</v>
      </c>
      <c r="P140">
        <v>62500</v>
      </c>
      <c r="Q140">
        <v>61500</v>
      </c>
      <c r="R140">
        <v>37500</v>
      </c>
      <c r="S140">
        <v>24000</v>
      </c>
      <c r="T140" s="4">
        <v>39.024390243902438</v>
      </c>
    </row>
    <row r="141" spans="1:20" x14ac:dyDescent="0.35">
      <c r="A141" s="2">
        <v>46193</v>
      </c>
      <c r="B141" s="2" t="s">
        <v>325</v>
      </c>
      <c r="C141" t="s">
        <v>311</v>
      </c>
      <c r="D141" t="s">
        <v>103</v>
      </c>
      <c r="E141" t="s">
        <v>104</v>
      </c>
      <c r="F141" t="s">
        <v>56</v>
      </c>
      <c r="G141" t="s">
        <v>51</v>
      </c>
      <c r="H141" t="s">
        <v>23</v>
      </c>
      <c r="I141" t="s">
        <v>24</v>
      </c>
      <c r="J141">
        <v>2</v>
      </c>
      <c r="K141">
        <v>50000</v>
      </c>
      <c r="L141">
        <v>2500</v>
      </c>
      <c r="M141" t="s">
        <v>25</v>
      </c>
      <c r="N141" t="s">
        <v>26</v>
      </c>
      <c r="O141">
        <v>42000</v>
      </c>
      <c r="P141">
        <v>100000</v>
      </c>
      <c r="Q141">
        <v>97500</v>
      </c>
      <c r="R141">
        <v>84000</v>
      </c>
      <c r="S141">
        <v>13500</v>
      </c>
      <c r="T141" s="4">
        <v>13.846153846153847</v>
      </c>
    </row>
    <row r="142" spans="1:20" x14ac:dyDescent="0.35">
      <c r="A142" s="2">
        <v>46193</v>
      </c>
      <c r="B142" s="2" t="s">
        <v>325</v>
      </c>
      <c r="C142" t="s">
        <v>312</v>
      </c>
      <c r="D142" t="s">
        <v>106</v>
      </c>
      <c r="E142" t="s">
        <v>107</v>
      </c>
      <c r="F142" t="s">
        <v>30</v>
      </c>
      <c r="G142" t="s">
        <v>22</v>
      </c>
      <c r="H142" t="s">
        <v>32</v>
      </c>
      <c r="I142" t="s">
        <v>24</v>
      </c>
      <c r="J142">
        <v>5</v>
      </c>
      <c r="K142">
        <v>12000</v>
      </c>
      <c r="L142">
        <v>900</v>
      </c>
      <c r="M142" t="s">
        <v>33</v>
      </c>
      <c r="N142" t="s">
        <v>26</v>
      </c>
      <c r="O142">
        <v>9500</v>
      </c>
      <c r="P142">
        <v>60000</v>
      </c>
      <c r="Q142">
        <v>59100</v>
      </c>
      <c r="R142">
        <v>47500</v>
      </c>
      <c r="S142">
        <v>11600</v>
      </c>
      <c r="T142" s="4">
        <v>19.627749576988155</v>
      </c>
    </row>
    <row r="143" spans="1:20" x14ac:dyDescent="0.35">
      <c r="A143" s="2">
        <v>46194</v>
      </c>
      <c r="B143" s="2" t="s">
        <v>325</v>
      </c>
      <c r="C143" t="s">
        <v>313</v>
      </c>
      <c r="D143" t="s">
        <v>109</v>
      </c>
      <c r="E143" t="s">
        <v>110</v>
      </c>
      <c r="F143" t="s">
        <v>37</v>
      </c>
      <c r="G143" t="s">
        <v>31</v>
      </c>
      <c r="H143" t="s">
        <v>57</v>
      </c>
      <c r="I143" t="s">
        <v>58</v>
      </c>
      <c r="J143">
        <v>4</v>
      </c>
      <c r="K143">
        <v>18000</v>
      </c>
      <c r="L143">
        <v>1400</v>
      </c>
      <c r="M143" t="s">
        <v>40</v>
      </c>
      <c r="N143" t="s">
        <v>59</v>
      </c>
      <c r="O143">
        <v>14000</v>
      </c>
      <c r="P143">
        <v>72000</v>
      </c>
      <c r="Q143">
        <v>70600</v>
      </c>
      <c r="R143">
        <v>56000</v>
      </c>
      <c r="S143">
        <v>14600</v>
      </c>
      <c r="T143" s="4">
        <v>20.679886685552407</v>
      </c>
    </row>
    <row r="144" spans="1:20" x14ac:dyDescent="0.35">
      <c r="A144" s="2">
        <v>46194</v>
      </c>
      <c r="B144" s="2" t="s">
        <v>325</v>
      </c>
      <c r="C144" t="s">
        <v>314</v>
      </c>
      <c r="D144" t="s">
        <v>112</v>
      </c>
      <c r="E144" t="s">
        <v>113</v>
      </c>
      <c r="F144" t="s">
        <v>44</v>
      </c>
      <c r="G144" t="s">
        <v>45</v>
      </c>
      <c r="H144" t="s">
        <v>38</v>
      </c>
      <c r="I144" t="s">
        <v>39</v>
      </c>
      <c r="J144">
        <v>30</v>
      </c>
      <c r="K144">
        <v>1500</v>
      </c>
      <c r="L144">
        <v>1000</v>
      </c>
      <c r="M144" t="s">
        <v>25</v>
      </c>
      <c r="N144" t="s">
        <v>26</v>
      </c>
      <c r="O144">
        <v>900</v>
      </c>
      <c r="P144">
        <v>45000</v>
      </c>
      <c r="Q144">
        <v>44000</v>
      </c>
      <c r="R144">
        <v>27000</v>
      </c>
      <c r="S144">
        <v>17000</v>
      </c>
      <c r="T144" s="4">
        <v>38.636363636363633</v>
      </c>
    </row>
    <row r="145" spans="1:20" x14ac:dyDescent="0.35">
      <c r="A145" s="2">
        <v>46195</v>
      </c>
      <c r="B145" s="2" t="s">
        <v>325</v>
      </c>
      <c r="C145" t="s">
        <v>315</v>
      </c>
      <c r="D145" t="s">
        <v>115</v>
      </c>
      <c r="E145" t="s">
        <v>116</v>
      </c>
      <c r="F145" t="s">
        <v>21</v>
      </c>
      <c r="G145" t="s">
        <v>51</v>
      </c>
      <c r="H145" t="s">
        <v>46</v>
      </c>
      <c r="I145" t="s">
        <v>39</v>
      </c>
      <c r="J145">
        <v>48</v>
      </c>
      <c r="K145">
        <v>800</v>
      </c>
      <c r="L145">
        <v>900</v>
      </c>
      <c r="M145" t="s">
        <v>52</v>
      </c>
      <c r="N145" t="s">
        <v>47</v>
      </c>
      <c r="O145">
        <v>500</v>
      </c>
      <c r="P145">
        <v>38400</v>
      </c>
      <c r="Q145">
        <v>37500</v>
      </c>
      <c r="R145">
        <v>24000</v>
      </c>
      <c r="S145">
        <v>13500</v>
      </c>
      <c r="T145" s="4">
        <v>36</v>
      </c>
    </row>
    <row r="146" spans="1:20" x14ac:dyDescent="0.35">
      <c r="A146" s="2">
        <v>46195</v>
      </c>
      <c r="B146" s="2" t="s">
        <v>325</v>
      </c>
      <c r="C146" t="s">
        <v>316</v>
      </c>
      <c r="D146" t="s">
        <v>118</v>
      </c>
      <c r="E146" t="s">
        <v>119</v>
      </c>
      <c r="F146" t="s">
        <v>56</v>
      </c>
      <c r="G146" t="s">
        <v>22</v>
      </c>
      <c r="H146" t="s">
        <v>71</v>
      </c>
      <c r="I146" t="s">
        <v>24</v>
      </c>
      <c r="J146">
        <v>6</v>
      </c>
      <c r="K146">
        <v>28000</v>
      </c>
      <c r="L146">
        <v>2800</v>
      </c>
      <c r="M146" t="s">
        <v>33</v>
      </c>
      <c r="N146" t="s">
        <v>26</v>
      </c>
      <c r="O146">
        <v>23000</v>
      </c>
      <c r="P146">
        <v>168000</v>
      </c>
      <c r="Q146">
        <v>165200</v>
      </c>
      <c r="R146">
        <v>138000</v>
      </c>
      <c r="S146">
        <v>27200</v>
      </c>
      <c r="T146" s="4">
        <v>16.464891041162229</v>
      </c>
    </row>
    <row r="147" spans="1:20" x14ac:dyDescent="0.35">
      <c r="A147" s="2">
        <v>46196</v>
      </c>
      <c r="B147" s="2" t="s">
        <v>325</v>
      </c>
      <c r="C147" t="s">
        <v>317</v>
      </c>
      <c r="D147" t="s">
        <v>121</v>
      </c>
      <c r="E147" t="s">
        <v>122</v>
      </c>
      <c r="F147" t="s">
        <v>30</v>
      </c>
      <c r="G147" t="s">
        <v>31</v>
      </c>
      <c r="H147" t="s">
        <v>67</v>
      </c>
      <c r="I147" t="s">
        <v>24</v>
      </c>
      <c r="J147">
        <v>4</v>
      </c>
      <c r="K147">
        <v>22000</v>
      </c>
      <c r="L147">
        <v>1500</v>
      </c>
      <c r="M147" t="s">
        <v>25</v>
      </c>
      <c r="N147" t="s">
        <v>59</v>
      </c>
      <c r="O147">
        <v>17500</v>
      </c>
      <c r="P147">
        <v>88000</v>
      </c>
      <c r="Q147">
        <v>86500</v>
      </c>
      <c r="R147">
        <v>70000</v>
      </c>
      <c r="S147">
        <v>16500</v>
      </c>
      <c r="T147" s="4">
        <v>19.075144508670519</v>
      </c>
    </row>
    <row r="148" spans="1:20" x14ac:dyDescent="0.35">
      <c r="A148" s="2">
        <v>46196</v>
      </c>
      <c r="B148" s="2" t="s">
        <v>325</v>
      </c>
      <c r="C148" t="s">
        <v>318</v>
      </c>
      <c r="D148" t="s">
        <v>124</v>
      </c>
      <c r="E148" t="s">
        <v>125</v>
      </c>
      <c r="F148" t="s">
        <v>37</v>
      </c>
      <c r="G148" t="s">
        <v>45</v>
      </c>
      <c r="H148" t="s">
        <v>23</v>
      </c>
      <c r="I148" t="s">
        <v>24</v>
      </c>
      <c r="J148">
        <v>3</v>
      </c>
      <c r="K148">
        <v>50000</v>
      </c>
      <c r="L148">
        <v>3000</v>
      </c>
      <c r="M148" t="s">
        <v>40</v>
      </c>
      <c r="N148" t="s">
        <v>26</v>
      </c>
      <c r="O148">
        <v>42000</v>
      </c>
      <c r="P148">
        <v>150000</v>
      </c>
      <c r="Q148">
        <v>147000</v>
      </c>
      <c r="R148">
        <v>126000</v>
      </c>
      <c r="S148">
        <v>21000</v>
      </c>
      <c r="T148" s="4">
        <v>14.285714285714285</v>
      </c>
    </row>
    <row r="149" spans="1:20" x14ac:dyDescent="0.35">
      <c r="A149" s="2">
        <v>46197</v>
      </c>
      <c r="B149" s="2" t="s">
        <v>325</v>
      </c>
      <c r="C149" t="s">
        <v>319</v>
      </c>
      <c r="D149" t="s">
        <v>127</v>
      </c>
      <c r="E149" t="s">
        <v>128</v>
      </c>
      <c r="F149" t="s">
        <v>44</v>
      </c>
      <c r="G149" t="s">
        <v>51</v>
      </c>
      <c r="H149" t="s">
        <v>32</v>
      </c>
      <c r="I149" t="s">
        <v>24</v>
      </c>
      <c r="J149">
        <v>7</v>
      </c>
      <c r="K149">
        <v>12000</v>
      </c>
      <c r="L149">
        <v>1400</v>
      </c>
      <c r="M149" t="s">
        <v>52</v>
      </c>
      <c r="N149" t="s">
        <v>26</v>
      </c>
      <c r="O149">
        <v>9500</v>
      </c>
      <c r="P149">
        <v>84000</v>
      </c>
      <c r="Q149">
        <v>82600</v>
      </c>
      <c r="R149">
        <v>66500</v>
      </c>
      <c r="S149">
        <v>16100</v>
      </c>
      <c r="T149" s="4">
        <v>19.491525423728813</v>
      </c>
    </row>
    <row r="150" spans="1:20" x14ac:dyDescent="0.35">
      <c r="A150" s="2">
        <v>46197</v>
      </c>
      <c r="B150" s="2" t="s">
        <v>325</v>
      </c>
      <c r="C150" t="s">
        <v>320</v>
      </c>
      <c r="D150" t="s">
        <v>130</v>
      </c>
      <c r="E150" t="s">
        <v>131</v>
      </c>
      <c r="F150" t="s">
        <v>21</v>
      </c>
      <c r="G150" t="s">
        <v>22</v>
      </c>
      <c r="H150" t="s">
        <v>57</v>
      </c>
      <c r="I150" t="s">
        <v>58</v>
      </c>
      <c r="J150">
        <v>5</v>
      </c>
      <c r="K150">
        <v>18000</v>
      </c>
      <c r="L150">
        <v>2000</v>
      </c>
      <c r="M150" t="s">
        <v>33</v>
      </c>
      <c r="N150" t="s">
        <v>47</v>
      </c>
      <c r="O150">
        <v>14000</v>
      </c>
      <c r="P150">
        <v>90000</v>
      </c>
      <c r="Q150">
        <v>88000</v>
      </c>
      <c r="R150">
        <v>70000</v>
      </c>
      <c r="S150">
        <v>18000</v>
      </c>
      <c r="T150" s="4">
        <v>20.454545454545457</v>
      </c>
    </row>
    <row r="151" spans="1:20" x14ac:dyDescent="0.35">
      <c r="A151" s="2">
        <v>46198</v>
      </c>
      <c r="B151" s="2" t="s">
        <v>325</v>
      </c>
      <c r="C151" t="s">
        <v>321</v>
      </c>
      <c r="D151" t="s">
        <v>133</v>
      </c>
      <c r="E151" t="s">
        <v>134</v>
      </c>
      <c r="F151" t="s">
        <v>56</v>
      </c>
      <c r="G151" t="s">
        <v>31</v>
      </c>
      <c r="H151" t="s">
        <v>63</v>
      </c>
      <c r="I151" t="s">
        <v>39</v>
      </c>
      <c r="J151">
        <v>18</v>
      </c>
      <c r="K151">
        <v>2500</v>
      </c>
      <c r="L151">
        <v>800</v>
      </c>
      <c r="M151" t="s">
        <v>25</v>
      </c>
      <c r="N151" t="s">
        <v>26</v>
      </c>
      <c r="O151">
        <v>1500</v>
      </c>
      <c r="P151">
        <v>45000</v>
      </c>
      <c r="Q151">
        <v>44200</v>
      </c>
      <c r="R151">
        <v>27000</v>
      </c>
      <c r="S151">
        <v>17200</v>
      </c>
      <c r="T151" s="4">
        <v>38.914027149321271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224F-E365-4FBA-9213-17C7947BBF87}">
  <dimension ref="A3:K15"/>
  <sheetViews>
    <sheetView zoomScale="111" workbookViewId="0">
      <selection activeCell="F17" sqref="F17"/>
    </sheetView>
  </sheetViews>
  <sheetFormatPr defaultRowHeight="14.5" x14ac:dyDescent="0.35"/>
  <cols>
    <col min="1" max="1" width="14.26953125" bestFit="1" customWidth="1"/>
    <col min="2" max="2" width="7.81640625" bestFit="1" customWidth="1"/>
    <col min="3" max="3" width="11.90625" bestFit="1" customWidth="1"/>
    <col min="4" max="5" width="12.7265625" bestFit="1" customWidth="1"/>
    <col min="6" max="6" width="8.08984375" bestFit="1" customWidth="1"/>
    <col min="7" max="7" width="15.1796875" bestFit="1" customWidth="1"/>
    <col min="8" max="8" width="7.81640625" bestFit="1" customWidth="1"/>
    <col min="9" max="9" width="10.36328125" customWidth="1"/>
    <col min="10" max="10" width="8.81640625" bestFit="1" customWidth="1"/>
    <col min="11" max="11" width="7.81640625" bestFit="1" customWidth="1"/>
    <col min="12" max="12" width="8.08984375" bestFit="1" customWidth="1"/>
    <col min="13" max="250" width="15.6328125" bestFit="1" customWidth="1"/>
    <col min="251" max="251" width="20.1796875" bestFit="1" customWidth="1"/>
    <col min="252" max="252" width="14.90625" bestFit="1" customWidth="1"/>
    <col min="253" max="253" width="20.453125" bestFit="1" customWidth="1"/>
    <col min="254" max="254" width="16.6328125" bestFit="1" customWidth="1"/>
    <col min="255" max="255" width="19.1796875" bestFit="1" customWidth="1"/>
  </cols>
  <sheetData>
    <row r="3" spans="1:11" x14ac:dyDescent="0.35">
      <c r="A3" t="s">
        <v>195</v>
      </c>
      <c r="B3" t="s">
        <v>200</v>
      </c>
      <c r="C3" t="s">
        <v>322</v>
      </c>
      <c r="D3" t="s">
        <v>193</v>
      </c>
      <c r="E3" t="s">
        <v>16</v>
      </c>
      <c r="F3" t="s">
        <v>17</v>
      </c>
    </row>
    <row r="4" spans="1:11" x14ac:dyDescent="0.35">
      <c r="A4" s="7">
        <v>11514800</v>
      </c>
      <c r="B4">
        <v>1773</v>
      </c>
      <c r="C4">
        <v>150</v>
      </c>
      <c r="D4" s="7">
        <v>9174600</v>
      </c>
      <c r="E4" s="7">
        <v>2340200</v>
      </c>
      <c r="F4" s="3">
        <v>0.20323409872511897</v>
      </c>
    </row>
    <row r="7" spans="1:11" x14ac:dyDescent="0.35">
      <c r="A7" s="5" t="s">
        <v>201</v>
      </c>
      <c r="B7" t="s">
        <v>202</v>
      </c>
      <c r="D7" s="5" t="s">
        <v>5</v>
      </c>
      <c r="E7" t="s">
        <v>202</v>
      </c>
      <c r="G7" s="5" t="s">
        <v>196</v>
      </c>
      <c r="H7" t="s">
        <v>202</v>
      </c>
      <c r="J7" s="5" t="s">
        <v>203</v>
      </c>
      <c r="K7" t="s">
        <v>202</v>
      </c>
    </row>
    <row r="8" spans="1:11" x14ac:dyDescent="0.35">
      <c r="A8" s="6" t="s">
        <v>21</v>
      </c>
      <c r="B8">
        <v>2549500</v>
      </c>
      <c r="D8" s="6" t="s">
        <v>51</v>
      </c>
      <c r="E8">
        <v>2908900</v>
      </c>
      <c r="G8" s="6" t="s">
        <v>63</v>
      </c>
      <c r="H8">
        <v>571600</v>
      </c>
      <c r="J8" s="6" t="s">
        <v>323</v>
      </c>
      <c r="K8">
        <v>3483900</v>
      </c>
    </row>
    <row r="9" spans="1:11" x14ac:dyDescent="0.35">
      <c r="A9" s="6" t="s">
        <v>44</v>
      </c>
      <c r="B9">
        <v>2444500</v>
      </c>
      <c r="D9" s="6" t="s">
        <v>45</v>
      </c>
      <c r="E9">
        <v>2688500</v>
      </c>
      <c r="G9" s="6" t="s">
        <v>38</v>
      </c>
      <c r="H9">
        <v>590500</v>
      </c>
      <c r="J9" s="6" t="s">
        <v>324</v>
      </c>
      <c r="K9">
        <v>3710300</v>
      </c>
    </row>
    <row r="10" spans="1:11" x14ac:dyDescent="0.35">
      <c r="A10" s="6" t="s">
        <v>30</v>
      </c>
      <c r="B10">
        <v>2153800</v>
      </c>
      <c r="D10" s="6" t="s">
        <v>31</v>
      </c>
      <c r="E10">
        <v>3109400</v>
      </c>
      <c r="G10" s="6" t="s">
        <v>23</v>
      </c>
      <c r="H10">
        <v>2543500</v>
      </c>
      <c r="J10" s="6" t="s">
        <v>325</v>
      </c>
      <c r="K10">
        <v>4320600</v>
      </c>
    </row>
    <row r="11" spans="1:11" x14ac:dyDescent="0.35">
      <c r="A11" s="6" t="s">
        <v>37</v>
      </c>
      <c r="B11">
        <v>2281500</v>
      </c>
      <c r="D11" s="6" t="s">
        <v>22</v>
      </c>
      <c r="E11">
        <v>2808000</v>
      </c>
      <c r="G11" s="6" t="s">
        <v>71</v>
      </c>
      <c r="H11">
        <v>2699400</v>
      </c>
    </row>
    <row r="12" spans="1:11" x14ac:dyDescent="0.35">
      <c r="A12" s="6" t="s">
        <v>56</v>
      </c>
      <c r="B12">
        <v>2085500</v>
      </c>
      <c r="G12" s="6" t="s">
        <v>32</v>
      </c>
      <c r="H12">
        <v>1450100</v>
      </c>
    </row>
    <row r="13" spans="1:11" x14ac:dyDescent="0.35">
      <c r="G13" s="6" t="s">
        <v>46</v>
      </c>
      <c r="H13">
        <v>551200</v>
      </c>
    </row>
    <row r="14" spans="1:11" x14ac:dyDescent="0.35">
      <c r="G14" s="6" t="s">
        <v>57</v>
      </c>
      <c r="H14">
        <v>1316400</v>
      </c>
    </row>
    <row r="15" spans="1:11" x14ac:dyDescent="0.35">
      <c r="G15" s="6" t="s">
        <v>67</v>
      </c>
      <c r="H15">
        <v>1792100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7412-08E7-408A-8A2D-D7CA2CC4B5DA}">
  <dimension ref="A1:S3"/>
  <sheetViews>
    <sheetView showGridLines="0" tabSelected="1" zoomScaleNormal="100" workbookViewId="0">
      <selection activeCell="Q26" sqref="Q26"/>
    </sheetView>
  </sheetViews>
  <sheetFormatPr defaultRowHeight="14.5" x14ac:dyDescent="0.35"/>
  <cols>
    <col min="1" max="1" width="8.7265625" style="8"/>
    <col min="2" max="2" width="10.90625" style="8" customWidth="1"/>
    <col min="3" max="16384" width="8.7265625" style="8"/>
  </cols>
  <sheetData>
    <row r="1" spans="1:19" ht="29" customHeight="1" x14ac:dyDescent="0.35">
      <c r="A1" s="14" t="s">
        <v>326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7" customHeight="1" x14ac:dyDescent="0.35">
      <c r="B2" s="11" t="s">
        <v>195</v>
      </c>
      <c r="C2" s="11"/>
      <c r="E2" s="11" t="s">
        <v>198</v>
      </c>
      <c r="F2" s="11"/>
      <c r="H2" s="11" t="s">
        <v>197</v>
      </c>
      <c r="I2" s="11"/>
      <c r="K2" s="11" t="s">
        <v>193</v>
      </c>
      <c r="L2" s="11"/>
      <c r="N2" s="11" t="s">
        <v>199</v>
      </c>
      <c r="O2" s="11"/>
      <c r="Q2" s="11" t="s">
        <v>194</v>
      </c>
      <c r="R2" s="11"/>
    </row>
    <row r="3" spans="1:19" ht="18.5" x14ac:dyDescent="0.45">
      <c r="B3" s="10">
        <f>GETPIVOTDATA("Total Sales",Sales_MIS!$A$3)</f>
        <v>11514800</v>
      </c>
      <c r="C3" s="10"/>
      <c r="D3" s="9"/>
      <c r="E3" s="12">
        <f>GETPIVOTDATA("Quantity Sold",Sales_MIS!$A$3)</f>
        <v>1773</v>
      </c>
      <c r="F3" s="12"/>
      <c r="G3" s="9"/>
      <c r="H3" s="12">
        <f>GETPIVOTDATA("No Of Orders",Sales_MIS!$A$3)</f>
        <v>150</v>
      </c>
      <c r="I3" s="12"/>
      <c r="J3" s="9"/>
      <c r="K3" s="10">
        <f>GETPIVOTDATA("Total Cost",Sales_MIS!$A$3)</f>
        <v>9174600</v>
      </c>
      <c r="L3" s="10"/>
      <c r="M3" s="9"/>
      <c r="N3" s="10">
        <f>GETPIVOTDATA("Profit",Sales_MIS!$A$3)</f>
        <v>2340200</v>
      </c>
      <c r="O3" s="10"/>
      <c r="P3" s="9"/>
      <c r="Q3" s="13">
        <f>GETPIVOTDATA("Profit_%",Sales_MIS!$A$3)</f>
        <v>0.20323409872511897</v>
      </c>
      <c r="R3" s="13"/>
    </row>
  </sheetData>
  <mergeCells count="12">
    <mergeCell ref="K2:L2"/>
    <mergeCell ref="K3:L3"/>
    <mergeCell ref="N2:O2"/>
    <mergeCell ref="N3:O3"/>
    <mergeCell ref="Q2:R2"/>
    <mergeCell ref="Q3:R3"/>
    <mergeCell ref="B3:C3"/>
    <mergeCell ref="B2:C2"/>
    <mergeCell ref="E2:F2"/>
    <mergeCell ref="E3:F3"/>
    <mergeCell ref="H2:I2"/>
    <mergeCell ref="H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Sales_Raw_Data</vt:lpstr>
      <vt:lpstr>Sales_MIS</vt:lpstr>
      <vt:lpstr>Sales_MIS_Report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Daundkar</dc:creator>
  <cp:lastModifiedBy>Abhay Daundkar</cp:lastModifiedBy>
  <dcterms:created xsi:type="dcterms:W3CDTF">2026-09-27T09:54:49Z</dcterms:created>
  <dcterms:modified xsi:type="dcterms:W3CDTF">2026-09-27T16:08:44Z</dcterms:modified>
</cp:coreProperties>
</file>